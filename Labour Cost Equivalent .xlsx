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rodekruisvlaanderen.sharepoint.com/sites/ah-AH-ThirdPillarResearchCenter/Gedeelde documenten/General/Paper 11 - Value Added of Third Pillar/"/>
    </mc:Choice>
  </mc:AlternateContent>
  <xr:revisionPtr revIDLastSave="8" documentId="8_{F5F827F0-6EE9-422D-9A3C-B12B4582B2BE}" xr6:coauthVersionLast="47" xr6:coauthVersionMax="47" xr10:uidLastSave="{7A7B7A3F-D429-46E3-BD2F-F687D03FA8D0}"/>
  <bookViews>
    <workbookView xWindow="-90" yWindow="0" windowWidth="9780" windowHeight="10170" xr2:uid="{00000000-000D-0000-FFFF-FFFF00000000}"/>
  </bookViews>
  <sheets>
    <sheet name="Final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etcPsmblJNmcwEVkiHI3oot9tBaNTVSLqk/N1fL6/I0="/>
    </ext>
  </extLst>
</workbook>
</file>

<file path=xl/calcChain.xml><?xml version="1.0" encoding="utf-8"?>
<calcChain xmlns="http://schemas.openxmlformats.org/spreadsheetml/2006/main">
  <c r="AD116" i="1" l="1"/>
  <c r="AC116" i="1"/>
  <c r="K116" i="1"/>
  <c r="I116" i="1"/>
  <c r="AG115" i="1"/>
  <c r="AE115" i="1"/>
  <c r="AF115" i="1" s="1"/>
  <c r="X115" i="1"/>
  <c r="AA115" i="1" s="1"/>
  <c r="W115" i="1"/>
  <c r="V115" i="1"/>
  <c r="T115" i="1"/>
  <c r="S115" i="1"/>
  <c r="AE114" i="1"/>
  <c r="AG114" i="1" s="1"/>
  <c r="U114" i="1"/>
  <c r="T114" i="1"/>
  <c r="X114" i="1" s="1"/>
  <c r="AA114" i="1" s="1"/>
  <c r="S114" i="1"/>
  <c r="W114" i="1" s="1"/>
  <c r="Z114" i="1" s="1"/>
  <c r="AB114" i="1" s="1"/>
  <c r="AE113" i="1"/>
  <c r="X113" i="1"/>
  <c r="AA113" i="1" s="1"/>
  <c r="W113" i="1"/>
  <c r="Z113" i="1" s="1"/>
  <c r="AB113" i="1" s="1"/>
  <c r="V113" i="1"/>
  <c r="T113" i="1"/>
  <c r="S113" i="1"/>
  <c r="AE112" i="1"/>
  <c r="X112" i="1"/>
  <c r="AA112" i="1" s="1"/>
  <c r="W112" i="1"/>
  <c r="Z112" i="1" s="1"/>
  <c r="V112" i="1"/>
  <c r="T112" i="1"/>
  <c r="S112" i="1"/>
  <c r="AE111" i="1"/>
  <c r="U111" i="1" s="1"/>
  <c r="T111" i="1"/>
  <c r="V111" i="1" s="1"/>
  <c r="S111" i="1"/>
  <c r="W111" i="1" s="1"/>
  <c r="Z111" i="1" s="1"/>
  <c r="AG110" i="1"/>
  <c r="AE110" i="1"/>
  <c r="T110" i="1"/>
  <c r="S110" i="1"/>
  <c r="W110" i="1" s="1"/>
  <c r="Z110" i="1" s="1"/>
  <c r="AF109" i="1"/>
  <c r="AE109" i="1"/>
  <c r="AG109" i="1" s="1"/>
  <c r="T109" i="1"/>
  <c r="S109" i="1"/>
  <c r="W109" i="1" s="1"/>
  <c r="Z109" i="1" s="1"/>
  <c r="AE108" i="1"/>
  <c r="AG108" i="1" s="1"/>
  <c r="T108" i="1"/>
  <c r="X108" i="1" s="1"/>
  <c r="AA108" i="1" s="1"/>
  <c r="S108" i="1"/>
  <c r="W108" i="1" s="1"/>
  <c r="AE107" i="1"/>
  <c r="U107" i="1" s="1"/>
  <c r="V107" i="1"/>
  <c r="T107" i="1"/>
  <c r="X107" i="1" s="1"/>
  <c r="AA107" i="1" s="1"/>
  <c r="S107" i="1"/>
  <c r="W107" i="1" s="1"/>
  <c r="AE106" i="1"/>
  <c r="AG106" i="1" s="1"/>
  <c r="X106" i="1"/>
  <c r="AA106" i="1" s="1"/>
  <c r="W106" i="1"/>
  <c r="T106" i="1"/>
  <c r="V106" i="1" s="1"/>
  <c r="S106" i="1"/>
  <c r="AF105" i="1"/>
  <c r="AE105" i="1"/>
  <c r="AG105" i="1" s="1"/>
  <c r="U105" i="1"/>
  <c r="T105" i="1"/>
  <c r="S105" i="1"/>
  <c r="W105" i="1" s="1"/>
  <c r="AG104" i="1"/>
  <c r="AF104" i="1"/>
  <c r="AE104" i="1"/>
  <c r="U104" i="1" s="1"/>
  <c r="T104" i="1"/>
  <c r="X104" i="1" s="1"/>
  <c r="AA104" i="1" s="1"/>
  <c r="S104" i="1"/>
  <c r="W104" i="1" s="1"/>
  <c r="AF103" i="1"/>
  <c r="AE103" i="1"/>
  <c r="AG103" i="1" s="1"/>
  <c r="W103" i="1"/>
  <c r="U103" i="1"/>
  <c r="T103" i="1"/>
  <c r="X103" i="1" s="1"/>
  <c r="AA103" i="1" s="1"/>
  <c r="S103" i="1"/>
  <c r="AE102" i="1"/>
  <c r="AG102" i="1" s="1"/>
  <c r="T102" i="1"/>
  <c r="X102" i="1" s="1"/>
  <c r="AA102" i="1" s="1"/>
  <c r="S102" i="1"/>
  <c r="W102" i="1" s="1"/>
  <c r="AE101" i="1"/>
  <c r="X101" i="1"/>
  <c r="AA101" i="1" s="1"/>
  <c r="W101" i="1"/>
  <c r="Z101" i="1" s="1"/>
  <c r="V101" i="1"/>
  <c r="T101" i="1"/>
  <c r="S101" i="1"/>
  <c r="AF100" i="1"/>
  <c r="AE100" i="1"/>
  <c r="T100" i="1"/>
  <c r="V100" i="1" s="1"/>
  <c r="S100" i="1"/>
  <c r="W100" i="1" s="1"/>
  <c r="AE99" i="1"/>
  <c r="AG99" i="1" s="1"/>
  <c r="X99" i="1"/>
  <c r="AA99" i="1" s="1"/>
  <c r="T99" i="1"/>
  <c r="V99" i="1" s="1"/>
  <c r="S99" i="1"/>
  <c r="W99" i="1" s="1"/>
  <c r="AE98" i="1"/>
  <c r="AG98" i="1" s="1"/>
  <c r="T98" i="1"/>
  <c r="S98" i="1"/>
  <c r="W98" i="1" s="1"/>
  <c r="Z98" i="1" s="1"/>
  <c r="AE97" i="1"/>
  <c r="AG97" i="1" s="1"/>
  <c r="AA97" i="1"/>
  <c r="AB97" i="1" s="1"/>
  <c r="Z97" i="1"/>
  <c r="W97" i="1"/>
  <c r="T97" i="1"/>
  <c r="X97" i="1" s="1"/>
  <c r="S97" i="1"/>
  <c r="AE96" i="1"/>
  <c r="U96" i="1" s="1"/>
  <c r="X96" i="1"/>
  <c r="AA96" i="1" s="1"/>
  <c r="V96" i="1"/>
  <c r="T96" i="1"/>
  <c r="S96" i="1"/>
  <c r="W96" i="1" s="1"/>
  <c r="AE95" i="1"/>
  <c r="U95" i="1" s="1"/>
  <c r="W95" i="1"/>
  <c r="T95" i="1"/>
  <c r="X95" i="1" s="1"/>
  <c r="AA95" i="1" s="1"/>
  <c r="S95" i="1"/>
  <c r="AE94" i="1"/>
  <c r="AG94" i="1" s="1"/>
  <c r="U94" i="1"/>
  <c r="T94" i="1"/>
  <c r="V94" i="1" s="1"/>
  <c r="S94" i="1"/>
  <c r="W94" i="1" s="1"/>
  <c r="AF93" i="1"/>
  <c r="AE93" i="1"/>
  <c r="AG93" i="1" s="1"/>
  <c r="U93" i="1"/>
  <c r="T93" i="1"/>
  <c r="X93" i="1" s="1"/>
  <c r="AA93" i="1" s="1"/>
  <c r="S93" i="1"/>
  <c r="W93" i="1" s="1"/>
  <c r="Z93" i="1" s="1"/>
  <c r="AG92" i="1"/>
  <c r="AE92" i="1"/>
  <c r="AF92" i="1" s="1"/>
  <c r="T92" i="1"/>
  <c r="X92" i="1" s="1"/>
  <c r="AA92" i="1" s="1"/>
  <c r="S92" i="1"/>
  <c r="W92" i="1" s="1"/>
  <c r="Y92" i="1" s="1"/>
  <c r="AE91" i="1"/>
  <c r="AG91" i="1" s="1"/>
  <c r="U91" i="1"/>
  <c r="T91" i="1"/>
  <c r="V91" i="1" s="1"/>
  <c r="S91" i="1"/>
  <c r="W91" i="1" s="1"/>
  <c r="Z91" i="1" s="1"/>
  <c r="AE90" i="1"/>
  <c r="U90" i="1" s="1"/>
  <c r="T90" i="1"/>
  <c r="V90" i="1" s="1"/>
  <c r="S90" i="1"/>
  <c r="W90" i="1" s="1"/>
  <c r="AE89" i="1"/>
  <c r="X89" i="1"/>
  <c r="AA89" i="1" s="1"/>
  <c r="W89" i="1"/>
  <c r="Z89" i="1" s="1"/>
  <c r="V89" i="1"/>
  <c r="T89" i="1"/>
  <c r="S89" i="1"/>
  <c r="AE88" i="1"/>
  <c r="U88" i="1" s="1"/>
  <c r="T88" i="1"/>
  <c r="V88" i="1" s="1"/>
  <c r="S88" i="1"/>
  <c r="W88" i="1" s="1"/>
  <c r="AG87" i="1"/>
  <c r="AE87" i="1"/>
  <c r="AF87" i="1" s="1"/>
  <c r="U87" i="1"/>
  <c r="T87" i="1"/>
  <c r="V87" i="1" s="1"/>
  <c r="S87" i="1"/>
  <c r="W87" i="1" s="1"/>
  <c r="Z87" i="1" s="1"/>
  <c r="AE86" i="1"/>
  <c r="T86" i="1"/>
  <c r="S86" i="1"/>
  <c r="W86" i="1" s="1"/>
  <c r="Z86" i="1" s="1"/>
  <c r="AE85" i="1"/>
  <c r="AG85" i="1" s="1"/>
  <c r="AA85" i="1"/>
  <c r="W85" i="1"/>
  <c r="Y85" i="1" s="1"/>
  <c r="T85" i="1"/>
  <c r="X85" i="1" s="1"/>
  <c r="S85" i="1"/>
  <c r="AE84" i="1"/>
  <c r="U84" i="1" s="1"/>
  <c r="X84" i="1"/>
  <c r="AA84" i="1" s="1"/>
  <c r="T84" i="1"/>
  <c r="V84" i="1" s="1"/>
  <c r="S84" i="1"/>
  <c r="W84" i="1" s="1"/>
  <c r="AG83" i="1"/>
  <c r="AE83" i="1"/>
  <c r="U83" i="1" s="1"/>
  <c r="T83" i="1"/>
  <c r="X83" i="1" s="1"/>
  <c r="AA83" i="1" s="1"/>
  <c r="S83" i="1"/>
  <c r="W83" i="1" s="1"/>
  <c r="AE82" i="1"/>
  <c r="AG82" i="1" s="1"/>
  <c r="U82" i="1"/>
  <c r="T82" i="1"/>
  <c r="V82" i="1" s="1"/>
  <c r="S82" i="1"/>
  <c r="W82" i="1" s="1"/>
  <c r="AE81" i="1"/>
  <c r="AG81" i="1" s="1"/>
  <c r="U81" i="1"/>
  <c r="T81" i="1"/>
  <c r="X81" i="1" s="1"/>
  <c r="AA81" i="1" s="1"/>
  <c r="S81" i="1"/>
  <c r="W81" i="1" s="1"/>
  <c r="Z81" i="1" s="1"/>
  <c r="AB81" i="1" s="1"/>
  <c r="AG80" i="1"/>
  <c r="AE80" i="1"/>
  <c r="AF80" i="1" s="1"/>
  <c r="AA80" i="1"/>
  <c r="Y80" i="1"/>
  <c r="U80" i="1"/>
  <c r="T80" i="1"/>
  <c r="X80" i="1" s="1"/>
  <c r="S80" i="1"/>
  <c r="W80" i="1" s="1"/>
  <c r="Z80" i="1" s="1"/>
  <c r="AE79" i="1"/>
  <c r="AG79" i="1" s="1"/>
  <c r="W79" i="1"/>
  <c r="U79" i="1"/>
  <c r="T79" i="1"/>
  <c r="X79" i="1" s="1"/>
  <c r="AA79" i="1" s="1"/>
  <c r="S79" i="1"/>
  <c r="AE78" i="1"/>
  <c r="U78" i="1" s="1"/>
  <c r="X78" i="1"/>
  <c r="AA78" i="1" s="1"/>
  <c r="W78" i="1"/>
  <c r="Z78" i="1" s="1"/>
  <c r="AB78" i="1" s="1"/>
  <c r="V78" i="1"/>
  <c r="T78" i="1"/>
  <c r="S78" i="1"/>
  <c r="AE77" i="1"/>
  <c r="W77" i="1"/>
  <c r="Z77" i="1" s="1"/>
  <c r="V77" i="1"/>
  <c r="T77" i="1"/>
  <c r="X77" i="1" s="1"/>
  <c r="AA77" i="1" s="1"/>
  <c r="S77" i="1"/>
  <c r="AE76" i="1"/>
  <c r="U76" i="1" s="1"/>
  <c r="T76" i="1"/>
  <c r="V76" i="1" s="1"/>
  <c r="S76" i="1"/>
  <c r="W76" i="1" s="1"/>
  <c r="Z76" i="1" s="1"/>
  <c r="AE75" i="1"/>
  <c r="AF75" i="1" s="1"/>
  <c r="T75" i="1"/>
  <c r="V75" i="1" s="1"/>
  <c r="S75" i="1"/>
  <c r="W75" i="1" s="1"/>
  <c r="Z75" i="1" s="1"/>
  <c r="AE74" i="1"/>
  <c r="T74" i="1"/>
  <c r="S74" i="1"/>
  <c r="W74" i="1" s="1"/>
  <c r="Z74" i="1" s="1"/>
  <c r="AE73" i="1"/>
  <c r="AG73" i="1" s="1"/>
  <c r="W73" i="1"/>
  <c r="T73" i="1"/>
  <c r="X73" i="1" s="1"/>
  <c r="AA73" i="1" s="1"/>
  <c r="S73" i="1"/>
  <c r="AE72" i="1"/>
  <c r="AF72" i="1" s="1"/>
  <c r="X72" i="1"/>
  <c r="AA72" i="1" s="1"/>
  <c r="T72" i="1"/>
  <c r="V72" i="1" s="1"/>
  <c r="S72" i="1"/>
  <c r="W72" i="1" s="1"/>
  <c r="AE71" i="1"/>
  <c r="U71" i="1" s="1"/>
  <c r="T71" i="1"/>
  <c r="S71" i="1"/>
  <c r="W71" i="1" s="1"/>
  <c r="AG70" i="1"/>
  <c r="AE70" i="1"/>
  <c r="AF70" i="1" s="1"/>
  <c r="U70" i="1"/>
  <c r="T70" i="1"/>
  <c r="V70" i="1" s="1"/>
  <c r="S70" i="1"/>
  <c r="W70" i="1" s="1"/>
  <c r="AE69" i="1"/>
  <c r="AF69" i="1" s="1"/>
  <c r="Z69" i="1"/>
  <c r="U69" i="1"/>
  <c r="T69" i="1"/>
  <c r="X69" i="1" s="1"/>
  <c r="AA69" i="1" s="1"/>
  <c r="S69" i="1"/>
  <c r="W69" i="1" s="1"/>
  <c r="Y69" i="1" s="1"/>
  <c r="AG68" i="1"/>
  <c r="AE68" i="1"/>
  <c r="AF68" i="1" s="1"/>
  <c r="T68" i="1"/>
  <c r="X68" i="1" s="1"/>
  <c r="AA68" i="1" s="1"/>
  <c r="S68" i="1"/>
  <c r="W68" i="1" s="1"/>
  <c r="AE67" i="1"/>
  <c r="AG67" i="1" s="1"/>
  <c r="W67" i="1"/>
  <c r="T67" i="1"/>
  <c r="X67" i="1" s="1"/>
  <c r="AA67" i="1" s="1"/>
  <c r="S67" i="1"/>
  <c r="AE66" i="1"/>
  <c r="U66" i="1"/>
  <c r="T66" i="1"/>
  <c r="V66" i="1" s="1"/>
  <c r="S66" i="1"/>
  <c r="W66" i="1" s="1"/>
  <c r="Z66" i="1" s="1"/>
  <c r="AE65" i="1"/>
  <c r="X65" i="1"/>
  <c r="AA65" i="1" s="1"/>
  <c r="W65" i="1"/>
  <c r="Z65" i="1" s="1"/>
  <c r="V65" i="1"/>
  <c r="T65" i="1"/>
  <c r="S65" i="1"/>
  <c r="AE64" i="1"/>
  <c r="U64" i="1" s="1"/>
  <c r="T64" i="1"/>
  <c r="V64" i="1" s="1"/>
  <c r="S64" i="1"/>
  <c r="W64" i="1" s="1"/>
  <c r="AF63" i="1"/>
  <c r="AE63" i="1"/>
  <c r="AG63" i="1" s="1"/>
  <c r="X63" i="1"/>
  <c r="AA63" i="1" s="1"/>
  <c r="AB63" i="1" s="1"/>
  <c r="T63" i="1"/>
  <c r="V63" i="1" s="1"/>
  <c r="S63" i="1"/>
  <c r="W63" i="1" s="1"/>
  <c r="Z63" i="1" s="1"/>
  <c r="AE62" i="1"/>
  <c r="AF62" i="1" s="1"/>
  <c r="Z62" i="1"/>
  <c r="T62" i="1"/>
  <c r="S62" i="1"/>
  <c r="W62" i="1" s="1"/>
  <c r="AE61" i="1"/>
  <c r="AG61" i="1" s="1"/>
  <c r="AA61" i="1"/>
  <c r="W61" i="1"/>
  <c r="Y61" i="1" s="1"/>
  <c r="U61" i="1"/>
  <c r="T61" i="1"/>
  <c r="X61" i="1" s="1"/>
  <c r="S61" i="1"/>
  <c r="AE60" i="1"/>
  <c r="AG60" i="1" s="1"/>
  <c r="T60" i="1"/>
  <c r="X60" i="1" s="1"/>
  <c r="AA60" i="1" s="1"/>
  <c r="S60" i="1"/>
  <c r="W60" i="1" s="1"/>
  <c r="AE59" i="1"/>
  <c r="U59" i="1" s="1"/>
  <c r="T59" i="1"/>
  <c r="X59" i="1" s="1"/>
  <c r="AA59" i="1" s="1"/>
  <c r="S59" i="1"/>
  <c r="W59" i="1" s="1"/>
  <c r="AG58" i="1"/>
  <c r="AF58" i="1"/>
  <c r="AE58" i="1"/>
  <c r="U58" i="1" s="1"/>
  <c r="T58" i="1"/>
  <c r="V58" i="1" s="1"/>
  <c r="S58" i="1"/>
  <c r="W58" i="1" s="1"/>
  <c r="AE57" i="1"/>
  <c r="U57" i="1" s="1"/>
  <c r="T57" i="1"/>
  <c r="X57" i="1" s="1"/>
  <c r="AA57" i="1" s="1"/>
  <c r="S57" i="1"/>
  <c r="W57" i="1" s="1"/>
  <c r="Z57" i="1" s="1"/>
  <c r="AG56" i="1"/>
  <c r="AE56" i="1"/>
  <c r="AF56" i="1" s="1"/>
  <c r="W56" i="1"/>
  <c r="Z56" i="1" s="1"/>
  <c r="U56" i="1"/>
  <c r="T56" i="1"/>
  <c r="X56" i="1" s="1"/>
  <c r="AA56" i="1" s="1"/>
  <c r="S56" i="1"/>
  <c r="AE55" i="1"/>
  <c r="AG55" i="1" s="1"/>
  <c r="W55" i="1"/>
  <c r="U55" i="1"/>
  <c r="T55" i="1"/>
  <c r="X55" i="1" s="1"/>
  <c r="AA55" i="1" s="1"/>
  <c r="S55" i="1"/>
  <c r="AE54" i="1"/>
  <c r="U54" i="1"/>
  <c r="T54" i="1"/>
  <c r="X54" i="1" s="1"/>
  <c r="AA54" i="1" s="1"/>
  <c r="S54" i="1"/>
  <c r="W54" i="1" s="1"/>
  <c r="Z54" i="1" s="1"/>
  <c r="AE53" i="1"/>
  <c r="AF53" i="1" s="1"/>
  <c r="T53" i="1"/>
  <c r="X53" i="1" s="1"/>
  <c r="AA53" i="1" s="1"/>
  <c r="S53" i="1"/>
  <c r="W53" i="1" s="1"/>
  <c r="AE52" i="1"/>
  <c r="U52" i="1" s="1"/>
  <c r="X52" i="1"/>
  <c r="AA52" i="1" s="1"/>
  <c r="T52" i="1"/>
  <c r="V52" i="1" s="1"/>
  <c r="S52" i="1"/>
  <c r="W52" i="1" s="1"/>
  <c r="AE51" i="1"/>
  <c r="U51" i="1" s="1"/>
  <c r="T51" i="1"/>
  <c r="V51" i="1" s="1"/>
  <c r="S51" i="1"/>
  <c r="W51" i="1" s="1"/>
  <c r="Z51" i="1" s="1"/>
  <c r="AE50" i="1"/>
  <c r="T50" i="1"/>
  <c r="S50" i="1"/>
  <c r="W50" i="1" s="1"/>
  <c r="Z50" i="1" s="1"/>
  <c r="AF49" i="1"/>
  <c r="AE49" i="1"/>
  <c r="AG49" i="1" s="1"/>
  <c r="W49" i="1"/>
  <c r="Z49" i="1" s="1"/>
  <c r="U49" i="1"/>
  <c r="T49" i="1"/>
  <c r="X49" i="1" s="1"/>
  <c r="AA49" i="1" s="1"/>
  <c r="S49" i="1"/>
  <c r="AE48" i="1"/>
  <c r="AG48" i="1" s="1"/>
  <c r="V48" i="1"/>
  <c r="T48" i="1"/>
  <c r="X48" i="1" s="1"/>
  <c r="AA48" i="1" s="1"/>
  <c r="S48" i="1"/>
  <c r="W48" i="1" s="1"/>
  <c r="AE47" i="1"/>
  <c r="U47" i="1" s="1"/>
  <c r="T47" i="1"/>
  <c r="S47" i="1"/>
  <c r="W47" i="1" s="1"/>
  <c r="AF46" i="1"/>
  <c r="AE46" i="1"/>
  <c r="U46" i="1" s="1"/>
  <c r="T46" i="1"/>
  <c r="V46" i="1" s="1"/>
  <c r="S46" i="1"/>
  <c r="W46" i="1" s="1"/>
  <c r="AG45" i="1"/>
  <c r="AF45" i="1"/>
  <c r="AE45" i="1"/>
  <c r="Z45" i="1"/>
  <c r="X45" i="1"/>
  <c r="AA45" i="1" s="1"/>
  <c r="U45" i="1"/>
  <c r="T45" i="1"/>
  <c r="V45" i="1" s="1"/>
  <c r="S45" i="1"/>
  <c r="W45" i="1" s="1"/>
  <c r="AG44" i="1"/>
  <c r="AE44" i="1"/>
  <c r="AF44" i="1" s="1"/>
  <c r="V44" i="1"/>
  <c r="U44" i="1"/>
  <c r="T44" i="1"/>
  <c r="X44" i="1" s="1"/>
  <c r="AA44" i="1" s="1"/>
  <c r="S44" i="1"/>
  <c r="W44" i="1" s="1"/>
  <c r="Y44" i="1" s="1"/>
  <c r="AE43" i="1"/>
  <c r="AG43" i="1" s="1"/>
  <c r="X43" i="1"/>
  <c r="AA43" i="1" s="1"/>
  <c r="T43" i="1"/>
  <c r="V43" i="1" s="1"/>
  <c r="S43" i="1"/>
  <c r="W43" i="1" s="1"/>
  <c r="AE42" i="1"/>
  <c r="W42" i="1"/>
  <c r="Z42" i="1" s="1"/>
  <c r="V42" i="1"/>
  <c r="U42" i="1"/>
  <c r="T42" i="1"/>
  <c r="X42" i="1" s="1"/>
  <c r="AA42" i="1" s="1"/>
  <c r="S42" i="1"/>
  <c r="AE41" i="1"/>
  <c r="AF41" i="1" s="1"/>
  <c r="T41" i="1"/>
  <c r="X41" i="1" s="1"/>
  <c r="AA41" i="1" s="1"/>
  <c r="S41" i="1"/>
  <c r="W41" i="1" s="1"/>
  <c r="AG40" i="1"/>
  <c r="AF40" i="1"/>
  <c r="AE40" i="1"/>
  <c r="U40" i="1" s="1"/>
  <c r="X40" i="1"/>
  <c r="AA40" i="1" s="1"/>
  <c r="T40" i="1"/>
  <c r="V40" i="1" s="1"/>
  <c r="S40" i="1"/>
  <c r="W40" i="1" s="1"/>
  <c r="AE39" i="1"/>
  <c r="AG39" i="1" s="1"/>
  <c r="T39" i="1"/>
  <c r="V39" i="1" s="1"/>
  <c r="S39" i="1"/>
  <c r="W39" i="1" s="1"/>
  <c r="Z39" i="1" s="1"/>
  <c r="AE38" i="1"/>
  <c r="Z38" i="1"/>
  <c r="T38" i="1"/>
  <c r="S38" i="1"/>
  <c r="W38" i="1" s="1"/>
  <c r="AE37" i="1"/>
  <c r="AG37" i="1" s="1"/>
  <c r="V37" i="1"/>
  <c r="U37" i="1"/>
  <c r="T37" i="1"/>
  <c r="X37" i="1" s="1"/>
  <c r="AA37" i="1" s="1"/>
  <c r="S37" i="1"/>
  <c r="W37" i="1" s="1"/>
  <c r="Z37" i="1" s="1"/>
  <c r="AE36" i="1"/>
  <c r="AG36" i="1" s="1"/>
  <c r="T36" i="1"/>
  <c r="X36" i="1" s="1"/>
  <c r="AA36" i="1" s="1"/>
  <c r="S36" i="1"/>
  <c r="W36" i="1" s="1"/>
  <c r="AE35" i="1"/>
  <c r="U35" i="1" s="1"/>
  <c r="T35" i="1"/>
  <c r="S35" i="1"/>
  <c r="W35" i="1" s="1"/>
  <c r="AE34" i="1"/>
  <c r="U34" i="1" s="1"/>
  <c r="T34" i="1"/>
  <c r="V34" i="1" s="1"/>
  <c r="S34" i="1"/>
  <c r="W34" i="1" s="1"/>
  <c r="AG33" i="1"/>
  <c r="AF33" i="1"/>
  <c r="AE33" i="1"/>
  <c r="U33" i="1"/>
  <c r="T33" i="1"/>
  <c r="V33" i="1" s="1"/>
  <c r="S33" i="1"/>
  <c r="W33" i="1" s="1"/>
  <c r="Z33" i="1" s="1"/>
  <c r="AE32" i="1"/>
  <c r="AF32" i="1" s="1"/>
  <c r="AA32" i="1"/>
  <c r="W32" i="1"/>
  <c r="Y32" i="1" s="1"/>
  <c r="V32" i="1"/>
  <c r="T32" i="1"/>
  <c r="X32" i="1" s="1"/>
  <c r="S32" i="1"/>
  <c r="AE31" i="1"/>
  <c r="AG31" i="1" s="1"/>
  <c r="U31" i="1"/>
  <c r="T31" i="1"/>
  <c r="V31" i="1" s="1"/>
  <c r="S31" i="1"/>
  <c r="W31" i="1" s="1"/>
  <c r="Z31" i="1" s="1"/>
  <c r="AE30" i="1"/>
  <c r="U30" i="1" s="1"/>
  <c r="T30" i="1"/>
  <c r="X30" i="1" s="1"/>
  <c r="AA30" i="1" s="1"/>
  <c r="S30" i="1"/>
  <c r="W30" i="1" s="1"/>
  <c r="Z30" i="1" s="1"/>
  <c r="AB30" i="1" s="1"/>
  <c r="AE29" i="1"/>
  <c r="AF29" i="1" s="1"/>
  <c r="X29" i="1"/>
  <c r="AA29" i="1" s="1"/>
  <c r="W29" i="1"/>
  <c r="Z29" i="1" s="1"/>
  <c r="AB29" i="1" s="1"/>
  <c r="V29" i="1"/>
  <c r="T29" i="1"/>
  <c r="S29" i="1"/>
  <c r="AE28" i="1"/>
  <c r="U28" i="1" s="1"/>
  <c r="T28" i="1"/>
  <c r="V28" i="1" s="1"/>
  <c r="S28" i="1"/>
  <c r="W28" i="1" s="1"/>
  <c r="AE27" i="1"/>
  <c r="AG27" i="1" s="1"/>
  <c r="U27" i="1"/>
  <c r="T27" i="1"/>
  <c r="V27" i="1" s="1"/>
  <c r="S27" i="1"/>
  <c r="W27" i="1" s="1"/>
  <c r="Z27" i="1" s="1"/>
  <c r="AE26" i="1"/>
  <c r="T26" i="1"/>
  <c r="S26" i="1"/>
  <c r="W26" i="1" s="1"/>
  <c r="Z26" i="1" s="1"/>
  <c r="AE25" i="1"/>
  <c r="AG25" i="1" s="1"/>
  <c r="U25" i="1"/>
  <c r="T25" i="1"/>
  <c r="X25" i="1" s="1"/>
  <c r="AA25" i="1" s="1"/>
  <c r="S25" i="1"/>
  <c r="W25" i="1" s="1"/>
  <c r="Z25" i="1" s="1"/>
  <c r="AE24" i="1"/>
  <c r="AG24" i="1" s="1"/>
  <c r="T24" i="1"/>
  <c r="X24" i="1" s="1"/>
  <c r="AA24" i="1" s="1"/>
  <c r="S24" i="1"/>
  <c r="W24" i="1" s="1"/>
  <c r="AE23" i="1"/>
  <c r="U23" i="1" s="1"/>
  <c r="T23" i="1"/>
  <c r="S23" i="1"/>
  <c r="W23" i="1" s="1"/>
  <c r="AE22" i="1"/>
  <c r="U22" i="1" s="1"/>
  <c r="T22" i="1"/>
  <c r="V22" i="1" s="1"/>
  <c r="S22" i="1"/>
  <c r="W22" i="1" s="1"/>
  <c r="AE21" i="1"/>
  <c r="U21" i="1" s="1"/>
  <c r="T21" i="1"/>
  <c r="V21" i="1" s="1"/>
  <c r="S21" i="1"/>
  <c r="W21" i="1" s="1"/>
  <c r="Z21" i="1" s="1"/>
  <c r="AG20" i="1"/>
  <c r="AE20" i="1"/>
  <c r="AF20" i="1" s="1"/>
  <c r="U20" i="1"/>
  <c r="T20" i="1"/>
  <c r="X20" i="1" s="1"/>
  <c r="AA20" i="1" s="1"/>
  <c r="S20" i="1"/>
  <c r="W20" i="1" s="1"/>
  <c r="AE19" i="1"/>
  <c r="AG19" i="1" s="1"/>
  <c r="X19" i="1"/>
  <c r="AA19" i="1" s="1"/>
  <c r="W19" i="1"/>
  <c r="T19" i="1"/>
  <c r="V19" i="1" s="1"/>
  <c r="S19" i="1"/>
  <c r="AE18" i="1"/>
  <c r="U18" i="1"/>
  <c r="T18" i="1"/>
  <c r="X18" i="1" s="1"/>
  <c r="AA18" i="1" s="1"/>
  <c r="S18" i="1"/>
  <c r="W18" i="1" s="1"/>
  <c r="Z18" i="1" s="1"/>
  <c r="AE17" i="1"/>
  <c r="AF17" i="1" s="1"/>
  <c r="T17" i="1"/>
  <c r="X17" i="1" s="1"/>
  <c r="AA17" i="1" s="1"/>
  <c r="S17" i="1"/>
  <c r="W17" i="1" s="1"/>
  <c r="Z17" i="1" s="1"/>
  <c r="AB17" i="1" s="1"/>
  <c r="AE16" i="1"/>
  <c r="U16" i="1" s="1"/>
  <c r="T16" i="1"/>
  <c r="V16" i="1" s="1"/>
  <c r="S16" i="1"/>
  <c r="W16" i="1" s="1"/>
  <c r="AE15" i="1"/>
  <c r="T15" i="1"/>
  <c r="V15" i="1" s="1"/>
  <c r="S15" i="1"/>
  <c r="W15" i="1" s="1"/>
  <c r="Z15" i="1" s="1"/>
  <c r="AE14" i="1"/>
  <c r="T14" i="1"/>
  <c r="S14" i="1"/>
  <c r="W14" i="1" s="1"/>
  <c r="Z14" i="1" s="1"/>
  <c r="AE13" i="1"/>
  <c r="AG13" i="1" s="1"/>
  <c r="U13" i="1"/>
  <c r="T13" i="1"/>
  <c r="X13" i="1" s="1"/>
  <c r="AA13" i="1" s="1"/>
  <c r="S13" i="1"/>
  <c r="W13" i="1" s="1"/>
  <c r="Z13" i="1" s="1"/>
  <c r="AE12" i="1"/>
  <c r="AG12" i="1" s="1"/>
  <c r="V12" i="1"/>
  <c r="U12" i="1"/>
  <c r="T12" i="1"/>
  <c r="X12" i="1" s="1"/>
  <c r="AA12" i="1" s="1"/>
  <c r="S12" i="1"/>
  <c r="W12" i="1" s="1"/>
  <c r="AG11" i="1"/>
  <c r="AE11" i="1"/>
  <c r="AF11" i="1" s="1"/>
  <c r="U11" i="1"/>
  <c r="T11" i="1"/>
  <c r="S11" i="1"/>
  <c r="W11" i="1" s="1"/>
  <c r="AG10" i="1"/>
  <c r="AF10" i="1"/>
  <c r="AE10" i="1"/>
  <c r="U10" i="1" s="1"/>
  <c r="T10" i="1"/>
  <c r="S10" i="1"/>
  <c r="W10" i="1" s="1"/>
  <c r="AE9" i="1"/>
  <c r="U9" i="1" s="1"/>
  <c r="T9" i="1"/>
  <c r="S9" i="1"/>
  <c r="W9" i="1" s="1"/>
  <c r="AE8" i="1"/>
  <c r="U8" i="1" s="1"/>
  <c r="T8" i="1"/>
  <c r="S8" i="1"/>
  <c r="W8" i="1" s="1"/>
  <c r="AE7" i="1"/>
  <c r="U7" i="1" s="1"/>
  <c r="T7" i="1"/>
  <c r="X7" i="1" s="1"/>
  <c r="AA7" i="1" s="1"/>
  <c r="S7" i="1"/>
  <c r="W7" i="1" s="1"/>
  <c r="AE6" i="1"/>
  <c r="AF6" i="1" s="1"/>
  <c r="T6" i="1"/>
  <c r="V6" i="1" s="1"/>
  <c r="S6" i="1"/>
  <c r="W6" i="1" s="1"/>
  <c r="AE5" i="1"/>
  <c r="AG5" i="1" s="1"/>
  <c r="T5" i="1"/>
  <c r="V5" i="1" s="1"/>
  <c r="S5" i="1"/>
  <c r="W5" i="1" s="1"/>
  <c r="AG4" i="1"/>
  <c r="AE4" i="1"/>
  <c r="AF4" i="1" s="1"/>
  <c r="U4" i="1"/>
  <c r="T4" i="1"/>
  <c r="X4" i="1" s="1"/>
  <c r="AA4" i="1" s="1"/>
  <c r="S4" i="1"/>
  <c r="W4" i="1" s="1"/>
  <c r="AG3" i="1"/>
  <c r="AE3" i="1"/>
  <c r="U3" i="1" s="1"/>
  <c r="T3" i="1"/>
  <c r="S3" i="1"/>
  <c r="W3" i="1" s="1"/>
  <c r="AG2" i="1"/>
  <c r="AE2" i="1"/>
  <c r="U2" i="1"/>
  <c r="T2" i="1"/>
  <c r="S2" i="1"/>
  <c r="W2" i="1" s="1"/>
  <c r="Z68" i="1" l="1"/>
  <c r="AB68" i="1" s="1"/>
  <c r="Y68" i="1"/>
  <c r="Z102" i="1"/>
  <c r="AB102" i="1" s="1"/>
  <c r="Y102" i="1"/>
  <c r="AB66" i="1"/>
  <c r="AB18" i="1"/>
  <c r="Z41" i="1"/>
  <c r="AB41" i="1" s="1"/>
  <c r="Y41" i="1"/>
  <c r="Y20" i="1"/>
  <c r="Z20" i="1"/>
  <c r="AB20" i="1" s="1"/>
  <c r="AB21" i="1"/>
  <c r="Z53" i="1"/>
  <c r="AB53" i="1" s="1"/>
  <c r="Y53" i="1"/>
  <c r="AB54" i="1"/>
  <c r="Y73" i="1"/>
  <c r="V102" i="1"/>
  <c r="X21" i="1"/>
  <c r="AA21" i="1" s="1"/>
  <c r="V25" i="1"/>
  <c r="AF27" i="1"/>
  <c r="AG32" i="1"/>
  <c r="U39" i="1"/>
  <c r="V41" i="1"/>
  <c r="U48" i="1"/>
  <c r="V59" i="1"/>
  <c r="AG64" i="1"/>
  <c r="X66" i="1"/>
  <c r="AA66" i="1" s="1"/>
  <c r="AG69" i="1"/>
  <c r="U72" i="1"/>
  <c r="X90" i="1"/>
  <c r="AA90" i="1" s="1"/>
  <c r="U92" i="1"/>
  <c r="AF107" i="1"/>
  <c r="X111" i="1"/>
  <c r="AA111" i="1" s="1"/>
  <c r="AB111" i="1" s="1"/>
  <c r="AF22" i="1"/>
  <c r="AG22" i="1"/>
  <c r="AF13" i="1"/>
  <c r="AF16" i="1"/>
  <c r="V18" i="1"/>
  <c r="X31" i="1"/>
  <c r="AA31" i="1" s="1"/>
  <c r="AB31" i="1" s="1"/>
  <c r="AB80" i="1"/>
  <c r="AF81" i="1"/>
  <c r="AG107" i="1"/>
  <c r="AG7" i="1"/>
  <c r="AG16" i="1"/>
  <c r="AF39" i="1"/>
  <c r="V54" i="1"/>
  <c r="AF57" i="1"/>
  <c r="V61" i="1"/>
  <c r="U63" i="1"/>
  <c r="X76" i="1"/>
  <c r="AA76" i="1" s="1"/>
  <c r="AB76" i="1" s="1"/>
  <c r="U99" i="1"/>
  <c r="U106" i="1"/>
  <c r="U115" i="1"/>
  <c r="X64" i="1"/>
  <c r="AA64" i="1" s="1"/>
  <c r="AG51" i="1"/>
  <c r="U6" i="1"/>
  <c r="V20" i="1"/>
  <c r="V56" i="1"/>
  <c r="AG57" i="1"/>
  <c r="AF111" i="1"/>
  <c r="X100" i="1"/>
  <c r="AA100" i="1" s="1"/>
  <c r="V4" i="1"/>
  <c r="AF21" i="1"/>
  <c r="U24" i="1"/>
  <c r="X28" i="1"/>
  <c r="AA28" i="1" s="1"/>
  <c r="V30" i="1"/>
  <c r="AF31" i="1"/>
  <c r="X33" i="1"/>
  <c r="AA33" i="1" s="1"/>
  <c r="U43" i="1"/>
  <c r="U60" i="1"/>
  <c r="Z61" i="1"/>
  <c r="AB61" i="1" s="1"/>
  <c r="AB65" i="1"/>
  <c r="U67" i="1"/>
  <c r="AG76" i="1"/>
  <c r="AB89" i="1"/>
  <c r="AB93" i="1"/>
  <c r="AB101" i="1"/>
  <c r="U108" i="1"/>
  <c r="AG111" i="1"/>
  <c r="AB77" i="1"/>
  <c r="AF7" i="1"/>
  <c r="V17" i="1"/>
  <c r="AG21" i="1"/>
  <c r="V24" i="1"/>
  <c r="U36" i="1"/>
  <c r="AF37" i="1"/>
  <c r="V53" i="1"/>
  <c r="Y56" i="1"/>
  <c r="V60" i="1"/>
  <c r="V67" i="1"/>
  <c r="AF99" i="1"/>
  <c r="V108" i="1"/>
  <c r="AF51" i="1"/>
  <c r="AB42" i="1"/>
  <c r="AF60" i="1"/>
  <c r="AG75" i="1"/>
  <c r="V36" i="1"/>
  <c r="AG46" i="1"/>
  <c r="AG72" i="1"/>
  <c r="AF106" i="1"/>
  <c r="AF43" i="1"/>
  <c r="U19" i="1"/>
  <c r="U32" i="1"/>
  <c r="U75" i="1"/>
  <c r="X91" i="1"/>
  <c r="AA91" i="1" s="1"/>
  <c r="AB91" i="1" s="1"/>
  <c r="AF97" i="1"/>
  <c r="V114" i="1"/>
  <c r="AF71" i="1"/>
  <c r="V73" i="1"/>
  <c r="V79" i="1"/>
  <c r="Z85" i="1"/>
  <c r="AB85" i="1" s="1"/>
  <c r="U102" i="1"/>
  <c r="X16" i="1"/>
  <c r="AA16" i="1" s="1"/>
  <c r="AF19" i="1"/>
  <c r="AG62" i="1"/>
  <c r="AF64" i="1"/>
  <c r="U68" i="1"/>
  <c r="Z73" i="1"/>
  <c r="AB73" i="1" s="1"/>
  <c r="V81" i="1"/>
  <c r="X88" i="1"/>
  <c r="AA88" i="1" s="1"/>
  <c r="U109" i="1"/>
  <c r="Z36" i="1"/>
  <c r="AB36" i="1" s="1"/>
  <c r="Y36" i="1"/>
  <c r="Z24" i="1"/>
  <c r="AB24" i="1" s="1"/>
  <c r="Y24" i="1"/>
  <c r="Z3" i="1"/>
  <c r="AF26" i="1"/>
  <c r="U26" i="1"/>
  <c r="AG26" i="1"/>
  <c r="AF34" i="1"/>
  <c r="Y110" i="1"/>
  <c r="S116" i="1"/>
  <c r="AF5" i="1"/>
  <c r="Z8" i="1"/>
  <c r="AB8" i="1" s="1"/>
  <c r="Y8" i="1"/>
  <c r="Z23" i="1"/>
  <c r="AF28" i="1"/>
  <c r="AG34" i="1"/>
  <c r="Z52" i="1"/>
  <c r="AB52" i="1" s="1"/>
  <c r="Y52" i="1"/>
  <c r="Z88" i="1"/>
  <c r="AB88" i="1" s="1"/>
  <c r="Y88" i="1"/>
  <c r="Y101" i="1"/>
  <c r="Z106" i="1"/>
  <c r="AB106" i="1" s="1"/>
  <c r="Y106" i="1"/>
  <c r="Z72" i="1"/>
  <c r="AB72" i="1" s="1"/>
  <c r="Y72" i="1"/>
  <c r="T116" i="1"/>
  <c r="V116" i="1" s="1"/>
  <c r="V2" i="1"/>
  <c r="X2" i="1"/>
  <c r="Y2" i="1" s="1"/>
  <c r="Z6" i="1"/>
  <c r="X8" i="1"/>
  <c r="AA8" i="1" s="1"/>
  <c r="V8" i="1"/>
  <c r="X23" i="1"/>
  <c r="AA23" i="1" s="1"/>
  <c r="V23" i="1"/>
  <c r="AG28" i="1"/>
  <c r="Z35" i="1"/>
  <c r="AF38" i="1"/>
  <c r="U38" i="1"/>
  <c r="AG38" i="1"/>
  <c r="V55" i="1"/>
  <c r="Y62" i="1"/>
  <c r="Z105" i="1"/>
  <c r="Z90" i="1"/>
  <c r="Y90" i="1"/>
  <c r="V105" i="1"/>
  <c r="X105" i="1"/>
  <c r="AA105" i="1" s="1"/>
  <c r="Z107" i="1"/>
  <c r="AB107" i="1" s="1"/>
  <c r="Y107" i="1"/>
  <c r="Y67" i="1"/>
  <c r="Z67" i="1"/>
  <c r="AB67" i="1" s="1"/>
  <c r="Z84" i="1"/>
  <c r="AB84" i="1" s="1"/>
  <c r="Y84" i="1"/>
  <c r="AB25" i="1"/>
  <c r="X47" i="1"/>
  <c r="AA47" i="1" s="1"/>
  <c r="V47" i="1"/>
  <c r="AF52" i="1"/>
  <c r="Z59" i="1"/>
  <c r="AB59" i="1" s="1"/>
  <c r="Y59" i="1"/>
  <c r="Z64" i="1"/>
  <c r="AB64" i="1" s="1"/>
  <c r="Y64" i="1"/>
  <c r="X71" i="1"/>
  <c r="AA71" i="1" s="1"/>
  <c r="V71" i="1"/>
  <c r="AB75" i="1"/>
  <c r="AF86" i="1"/>
  <c r="U86" i="1"/>
  <c r="Z92" i="1"/>
  <c r="AB92" i="1" s="1"/>
  <c r="AG6" i="1"/>
  <c r="Z9" i="1"/>
  <c r="AB13" i="1"/>
  <c r="AB37" i="1"/>
  <c r="Y45" i="1"/>
  <c r="V49" i="1"/>
  <c r="AG52" i="1"/>
  <c r="Y57" i="1"/>
  <c r="AG86" i="1"/>
  <c r="X109" i="1"/>
  <c r="V109" i="1"/>
  <c r="AB112" i="1"/>
  <c r="Z46" i="1"/>
  <c r="X10" i="1"/>
  <c r="AA10" i="1" s="1"/>
  <c r="V10" i="1"/>
  <c r="U14" i="1"/>
  <c r="AG14" i="1"/>
  <c r="AF14" i="1"/>
  <c r="Z94" i="1"/>
  <c r="AB94" i="1" s="1"/>
  <c r="Y94" i="1"/>
  <c r="Z11" i="1"/>
  <c r="Y11" i="1"/>
  <c r="Z82" i="1"/>
  <c r="Z10" i="1"/>
  <c r="Z70" i="1"/>
  <c r="Y115" i="1"/>
  <c r="Z115" i="1"/>
  <c r="AB115" i="1" s="1"/>
  <c r="AF8" i="1"/>
  <c r="Y33" i="1"/>
  <c r="Z47" i="1"/>
  <c r="Y47" i="1"/>
  <c r="AF50" i="1"/>
  <c r="U50" i="1"/>
  <c r="AG50" i="1"/>
  <c r="Y100" i="1"/>
  <c r="Z100" i="1"/>
  <c r="AB100" i="1" s="1"/>
  <c r="AG8" i="1"/>
  <c r="AB45" i="1"/>
  <c r="Z32" i="1"/>
  <c r="AB32" i="1" s="1"/>
  <c r="AB49" i="1"/>
  <c r="Z83" i="1"/>
  <c r="AB83" i="1" s="1"/>
  <c r="Y83" i="1"/>
  <c r="Z104" i="1"/>
  <c r="AB104" i="1" s="1"/>
  <c r="Y104" i="1"/>
  <c r="U112" i="1"/>
  <c r="AG112" i="1"/>
  <c r="Z40" i="1"/>
  <c r="AB40" i="1" s="1"/>
  <c r="Y40" i="1"/>
  <c r="W116" i="1"/>
  <c r="Z116" i="1" s="1"/>
  <c r="Z2" i="1"/>
  <c r="AF74" i="1"/>
  <c r="U74" i="1"/>
  <c r="AG74" i="1"/>
  <c r="X11" i="1"/>
  <c r="AA11" i="1" s="1"/>
  <c r="V11" i="1"/>
  <c r="Z7" i="1"/>
  <c r="AB7" i="1" s="1"/>
  <c r="Y7" i="1"/>
  <c r="Z22" i="1"/>
  <c r="Y22" i="1"/>
  <c r="Z12" i="1"/>
  <c r="AB12" i="1" s="1"/>
  <c r="Y12" i="1"/>
  <c r="Z34" i="1"/>
  <c r="V95" i="1"/>
  <c r="AF112" i="1"/>
  <c r="Z48" i="1"/>
  <c r="AB48" i="1" s="1"/>
  <c r="Y48" i="1"/>
  <c r="Z58" i="1"/>
  <c r="Y4" i="1"/>
  <c r="Z4" i="1"/>
  <c r="AB4" i="1" s="1"/>
  <c r="X35" i="1"/>
  <c r="AA35" i="1" s="1"/>
  <c r="V35" i="1"/>
  <c r="Z96" i="1"/>
  <c r="AB96" i="1" s="1"/>
  <c r="Y96" i="1"/>
  <c r="Z71" i="1"/>
  <c r="V13" i="1"/>
  <c r="AB33" i="1"/>
  <c r="X9" i="1"/>
  <c r="AA9" i="1" s="1"/>
  <c r="V9" i="1"/>
  <c r="AB57" i="1"/>
  <c r="AB69" i="1"/>
  <c r="Z99" i="1"/>
  <c r="AB99" i="1" s="1"/>
  <c r="Y99" i="1"/>
  <c r="X3" i="1"/>
  <c r="AA3" i="1" s="1"/>
  <c r="V3" i="1"/>
  <c r="U15" i="1"/>
  <c r="AF15" i="1"/>
  <c r="AF9" i="1"/>
  <c r="AG15" i="1"/>
  <c r="Y28" i="1"/>
  <c r="Z28" i="1"/>
  <c r="AB28" i="1" s="1"/>
  <c r="U5" i="1"/>
  <c r="AG9" i="1"/>
  <c r="Z16" i="1"/>
  <c r="Y16" i="1"/>
  <c r="Z44" i="1"/>
  <c r="AB44" i="1" s="1"/>
  <c r="AB56" i="1"/>
  <c r="Y79" i="1"/>
  <c r="Z79" i="1"/>
  <c r="AB79" i="1" s="1"/>
  <c r="V83" i="1"/>
  <c r="Y91" i="1"/>
  <c r="Z95" i="1"/>
  <c r="AB95" i="1" s="1"/>
  <c r="Y95" i="1"/>
  <c r="Z108" i="1"/>
  <c r="AB108" i="1" s="1"/>
  <c r="Y108" i="1"/>
  <c r="Y19" i="1"/>
  <c r="Y25" i="1"/>
  <c r="Y31" i="1"/>
  <c r="Y37" i="1"/>
  <c r="Y43" i="1"/>
  <c r="Y49" i="1"/>
  <c r="Y55" i="1"/>
  <c r="Z60" i="1"/>
  <c r="AB60" i="1" s="1"/>
  <c r="Y60" i="1"/>
  <c r="U110" i="1"/>
  <c r="AF110" i="1"/>
  <c r="V7" i="1"/>
  <c r="Z43" i="1"/>
  <c r="AB43" i="1" s="1"/>
  <c r="Z55" i="1"/>
  <c r="AB55" i="1" s="1"/>
  <c r="Y78" i="1"/>
  <c r="AF85" i="1"/>
  <c r="Y89" i="1"/>
  <c r="AF96" i="1"/>
  <c r="U101" i="1"/>
  <c r="AG101" i="1"/>
  <c r="AF101" i="1"/>
  <c r="Y114" i="1"/>
  <c r="Y66" i="1"/>
  <c r="AF73" i="1"/>
  <c r="Y77" i="1"/>
  <c r="AF84" i="1"/>
  <c r="X87" i="1"/>
  <c r="AA87" i="1" s="1"/>
  <c r="AB87" i="1" s="1"/>
  <c r="X94" i="1"/>
  <c r="AA94" i="1" s="1"/>
  <c r="AF95" i="1"/>
  <c r="AG96" i="1"/>
  <c r="X98" i="1"/>
  <c r="AA98" i="1" s="1"/>
  <c r="AB98" i="1" s="1"/>
  <c r="V98" i="1"/>
  <c r="V104" i="1"/>
  <c r="X5" i="1"/>
  <c r="AA5" i="1" s="1"/>
  <c r="Y30" i="1"/>
  <c r="Y42" i="1"/>
  <c r="Y54" i="1"/>
  <c r="AF61" i="1"/>
  <c r="Y65" i="1"/>
  <c r="X75" i="1"/>
  <c r="AA75" i="1" s="1"/>
  <c r="Y76" i="1"/>
  <c r="X82" i="1"/>
  <c r="AA82" i="1" s="1"/>
  <c r="AF83" i="1"/>
  <c r="AG84" i="1"/>
  <c r="X86" i="1"/>
  <c r="AA86" i="1" s="1"/>
  <c r="AB86" i="1" s="1"/>
  <c r="V86" i="1"/>
  <c r="AG90" i="1"/>
  <c r="AF90" i="1"/>
  <c r="V93" i="1"/>
  <c r="AG95" i="1"/>
  <c r="U100" i="1"/>
  <c r="AG100" i="1"/>
  <c r="V103" i="1"/>
  <c r="Y113" i="1"/>
  <c r="Y17" i="1"/>
  <c r="AF25" i="1"/>
  <c r="X70" i="1"/>
  <c r="AA70" i="1" s="1"/>
  <c r="X74" i="1"/>
  <c r="AA74" i="1" s="1"/>
  <c r="AB74" i="1" s="1"/>
  <c r="V74" i="1"/>
  <c r="AG78" i="1"/>
  <c r="AF78" i="1"/>
  <c r="U89" i="1"/>
  <c r="AG89" i="1"/>
  <c r="Y103" i="1"/>
  <c r="AF12" i="1"/>
  <c r="X27" i="1"/>
  <c r="AA27" i="1" s="1"/>
  <c r="AB27" i="1" s="1"/>
  <c r="AF36" i="1"/>
  <c r="X39" i="1"/>
  <c r="AA39" i="1" s="1"/>
  <c r="AB39" i="1" s="1"/>
  <c r="AF48" i="1"/>
  <c r="X51" i="1"/>
  <c r="AA51" i="1" s="1"/>
  <c r="AB51" i="1" s="1"/>
  <c r="X58" i="1"/>
  <c r="AA58" i="1" s="1"/>
  <c r="AF59" i="1"/>
  <c r="X62" i="1"/>
  <c r="AA62" i="1" s="1"/>
  <c r="AB62" i="1" s="1"/>
  <c r="V62" i="1"/>
  <c r="Y63" i="1"/>
  <c r="AG66" i="1"/>
  <c r="AF66" i="1"/>
  <c r="V69" i="1"/>
  <c r="AG71" i="1"/>
  <c r="U77" i="1"/>
  <c r="AG77" i="1"/>
  <c r="AF89" i="1"/>
  <c r="V92" i="1"/>
  <c r="Y93" i="1"/>
  <c r="AF94" i="1"/>
  <c r="U97" i="1"/>
  <c r="Y111" i="1"/>
  <c r="Y112" i="1"/>
  <c r="X6" i="1"/>
  <c r="AA6" i="1" s="1"/>
  <c r="Y18" i="1"/>
  <c r="Y29" i="1"/>
  <c r="Z5" i="1"/>
  <c r="X15" i="1"/>
  <c r="AA15" i="1" s="1"/>
  <c r="AB15" i="1" s="1"/>
  <c r="AF24" i="1"/>
  <c r="AE116" i="1"/>
  <c r="AG116" i="1" s="1"/>
  <c r="AG18" i="1"/>
  <c r="AF18" i="1"/>
  <c r="X22" i="1"/>
  <c r="AA22" i="1" s="1"/>
  <c r="X26" i="1"/>
  <c r="V26" i="1"/>
  <c r="AG30" i="1"/>
  <c r="AF30" i="1"/>
  <c r="X34" i="1"/>
  <c r="AA34" i="1" s="1"/>
  <c r="AF35" i="1"/>
  <c r="X38" i="1"/>
  <c r="V38" i="1"/>
  <c r="AG42" i="1"/>
  <c r="AF42" i="1"/>
  <c r="X46" i="1"/>
  <c r="AA46" i="1" s="1"/>
  <c r="AF47" i="1"/>
  <c r="X50" i="1"/>
  <c r="V50" i="1"/>
  <c r="AG54" i="1"/>
  <c r="AF54" i="1"/>
  <c r="V57" i="1"/>
  <c r="AG59" i="1"/>
  <c r="U62" i="1"/>
  <c r="U65" i="1"/>
  <c r="AG65" i="1"/>
  <c r="AF77" i="1"/>
  <c r="V80" i="1"/>
  <c r="Y81" i="1"/>
  <c r="AF82" i="1"/>
  <c r="U85" i="1"/>
  <c r="AF88" i="1"/>
  <c r="V97" i="1"/>
  <c r="Z103" i="1"/>
  <c r="AB103" i="1" s="1"/>
  <c r="AF108" i="1"/>
  <c r="X110" i="1"/>
  <c r="AA110" i="1" s="1"/>
  <c r="AB110" i="1" s="1"/>
  <c r="V110" i="1"/>
  <c r="U113" i="1"/>
  <c r="AG113" i="1"/>
  <c r="AF113" i="1"/>
  <c r="Z19" i="1"/>
  <c r="AB19" i="1" s="1"/>
  <c r="X14" i="1"/>
  <c r="V14" i="1"/>
  <c r="Y15" i="1"/>
  <c r="AF23" i="1"/>
  <c r="AF2" i="1"/>
  <c r="AF3" i="1"/>
  <c r="Y13" i="1"/>
  <c r="U17" i="1"/>
  <c r="AG17" i="1"/>
  <c r="AG23" i="1"/>
  <c r="U29" i="1"/>
  <c r="AG29" i="1"/>
  <c r="AG35" i="1"/>
  <c r="U41" i="1"/>
  <c r="AG41" i="1"/>
  <c r="AG47" i="1"/>
  <c r="U53" i="1"/>
  <c r="AG53" i="1"/>
  <c r="AF65" i="1"/>
  <c r="V68" i="1"/>
  <c r="U73" i="1"/>
  <c r="AF76" i="1"/>
  <c r="V85" i="1"/>
  <c r="AG88" i="1"/>
  <c r="Y97" i="1"/>
  <c r="U98" i="1"/>
  <c r="AF98" i="1"/>
  <c r="AF102" i="1"/>
  <c r="AF114" i="1"/>
  <c r="AF55" i="1"/>
  <c r="AF67" i="1"/>
  <c r="AF79" i="1"/>
  <c r="AF91" i="1"/>
  <c r="AB5" i="1" l="1"/>
  <c r="AB11" i="1"/>
  <c r="Y5" i="1"/>
  <c r="AB71" i="1"/>
  <c r="Y34" i="1"/>
  <c r="Y3" i="1"/>
  <c r="U116" i="1"/>
  <c r="AB22" i="1"/>
  <c r="Y10" i="1"/>
  <c r="AB90" i="1"/>
  <c r="Y21" i="1"/>
  <c r="AB16" i="1"/>
  <c r="Y75" i="1"/>
  <c r="Y105" i="1"/>
  <c r="Y86" i="1"/>
  <c r="AB82" i="1"/>
  <c r="AB105" i="1"/>
  <c r="AB34" i="1"/>
  <c r="AB47" i="1"/>
  <c r="Y14" i="1"/>
  <c r="AA14" i="1"/>
  <c r="AB14" i="1" s="1"/>
  <c r="AB2" i="1"/>
  <c r="Y6" i="1"/>
  <c r="Y38" i="1"/>
  <c r="AA38" i="1"/>
  <c r="AB38" i="1" s="1"/>
  <c r="Y51" i="1"/>
  <c r="Y87" i="1"/>
  <c r="AB6" i="1"/>
  <c r="X116" i="1"/>
  <c r="AA116" i="1" s="1"/>
  <c r="AB116" i="1" s="1"/>
  <c r="AA2" i="1"/>
  <c r="Y109" i="1"/>
  <c r="AA109" i="1"/>
  <c r="AB109" i="1" s="1"/>
  <c r="Y58" i="1"/>
  <c r="Y70" i="1"/>
  <c r="AB70" i="1"/>
  <c r="AF116" i="1"/>
  <c r="Y27" i="1"/>
  <c r="Y26" i="1"/>
  <c r="AA26" i="1"/>
  <c r="AB26" i="1" s="1"/>
  <c r="Y35" i="1"/>
  <c r="AB3" i="1"/>
  <c r="AB10" i="1"/>
  <c r="Y46" i="1"/>
  <c r="Y9" i="1"/>
  <c r="AB35" i="1"/>
  <c r="Y23" i="1"/>
  <c r="AA50" i="1"/>
  <c r="AB50" i="1" s="1"/>
  <c r="Y50" i="1"/>
  <c r="Y74" i="1"/>
  <c r="AB58" i="1"/>
  <c r="Y39" i="1"/>
  <c r="Y98" i="1"/>
  <c r="Y71" i="1"/>
  <c r="Y82" i="1"/>
  <c r="AB46" i="1"/>
  <c r="AB9" i="1"/>
  <c r="AB23" i="1"/>
  <c r="Y116" i="1" l="1"/>
</calcChain>
</file>

<file path=xl/sharedStrings.xml><?xml version="1.0" encoding="utf-8"?>
<sst xmlns="http://schemas.openxmlformats.org/spreadsheetml/2006/main" count="378" uniqueCount="161">
  <si>
    <t>Country</t>
  </si>
  <si>
    <t>Observed_TS</t>
  </si>
  <si>
    <t>Predicted_TS</t>
  </si>
  <si>
    <t>Predicted_TS_5thPCT</t>
  </si>
  <si>
    <t>Predicted_TS_95thPCT</t>
  </si>
  <si>
    <t>Predicted_TS_Paidstaff</t>
  </si>
  <si>
    <t>Predicted_TS_Volunteers</t>
  </si>
  <si>
    <t>Combined_TS</t>
  </si>
  <si>
    <t>SP.POP.TOTL</t>
  </si>
  <si>
    <t>SP.POP.TOTL_Year</t>
  </si>
  <si>
    <t>NY.GDP.MKTP.CD</t>
  </si>
  <si>
    <t>NY.GDP.MKTP.CD_Year</t>
  </si>
  <si>
    <t>NY.GDP.PCAP.CD</t>
  </si>
  <si>
    <t>NY.GDP.PCAP.CD_Year</t>
  </si>
  <si>
    <t>FP.CPI.TOTL.ZG</t>
  </si>
  <si>
    <t>FP.CPI.TOTL.ZG_Year</t>
  </si>
  <si>
    <t>Wage (USD)</t>
  </si>
  <si>
    <t>Wage (USD)_Year</t>
  </si>
  <si>
    <t xml:space="preserve">Number of paid hours (estimate) </t>
  </si>
  <si>
    <t>Number of volunteer hours (estimate)</t>
  </si>
  <si>
    <t>Number of total hours (estimate)</t>
  </si>
  <si>
    <t>Number of volunteer hours per inhabitant</t>
  </si>
  <si>
    <t xml:space="preserve">Monetary value of paid workers (estimate) </t>
  </si>
  <si>
    <t>Monetary value of volunteering (estimate)</t>
  </si>
  <si>
    <t>Monetary value of total workers  (estimate)</t>
  </si>
  <si>
    <t>Share of the Monetary value of paid workers to GDP</t>
  </si>
  <si>
    <t>Share of the Monetary value of volunteering to GDP</t>
  </si>
  <si>
    <t>Share of the Monetary value of total workers to GDP</t>
  </si>
  <si>
    <t>FTE (paid workers)</t>
  </si>
  <si>
    <t>FTE (Volunteering)</t>
  </si>
  <si>
    <t>FTE (total)</t>
  </si>
  <si>
    <t xml:space="preserve">Share of paid workers to total FTE </t>
  </si>
  <si>
    <t xml:space="preserve">Share of volunteers to total FTE </t>
  </si>
  <si>
    <t>region</t>
  </si>
  <si>
    <t>income</t>
  </si>
  <si>
    <t>Australia</t>
  </si>
  <si>
    <t>East Asia &amp; Pacific</t>
  </si>
  <si>
    <t>High income</t>
  </si>
  <si>
    <t>Cambodia</t>
  </si>
  <si>
    <t>Lower middle income</t>
  </si>
  <si>
    <t>Indonesia</t>
  </si>
  <si>
    <t>Japan</t>
  </si>
  <si>
    <t>Laos</t>
  </si>
  <si>
    <t>Malaysia</t>
  </si>
  <si>
    <t>Upper middle income</t>
  </si>
  <si>
    <t>Mongolia</t>
  </si>
  <si>
    <t>Myanmar</t>
  </si>
  <si>
    <t>New Zealand</t>
  </si>
  <si>
    <t>Philippines</t>
  </si>
  <si>
    <t>Republic of Korea</t>
  </si>
  <si>
    <t>Thailand</t>
  </si>
  <si>
    <t>Viet Nam</t>
  </si>
  <si>
    <t>Albania</t>
  </si>
  <si>
    <t>Europe &amp; Central Asia</t>
  </si>
  <si>
    <t>Armenia</t>
  </si>
  <si>
    <t>Austria</t>
  </si>
  <si>
    <t>Belgium</t>
  </si>
  <si>
    <t>Bosnia and 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</si>
  <si>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</si>
  <si>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</si>
  <si>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</si>
  <si>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</si>
  <si>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</si>
  <si>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</si>
  <si>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</si>
  <si>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</si>
  <si>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</si>
  <si>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</si>
  <si>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</si>
  <si>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</si>
  <si>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Ireland</t>
  </si>
  <si>
    <t>Italy</t>
  </si>
  <si>
    <t>Kyrgyzstan</t>
  </si>
  <si>
    <t>Latvia</t>
  </si>
  <si>
    <t>Lithuania</t>
  </si>
  <si>
    <t>Luxembourg</t>
  </si>
  <si>
    <t>Moldova</t>
  </si>
  <si>
    <t>Montenegro</t>
  </si>
  <si>
    <t>Netherlands</t>
  </si>
  <si>
    <t>North Macedonia</t>
  </si>
  <si>
    <t>Norway</t>
  </si>
  <si>
    <t>Poland</t>
  </si>
  <si>
    <t>Portugal</t>
  </si>
  <si>
    <t>Romania</t>
  </si>
  <si>
    <t>Russian Federation</t>
  </si>
  <si>
    <t>Serbia</t>
  </si>
  <si>
    <t>Slovakia</t>
  </si>
  <si>
    <t>Slovenia</t>
  </si>
  <si>
    <t>Spain</t>
  </si>
  <si>
    <t>Sweden</t>
  </si>
  <si>
    <t>Switzerland</t>
  </si>
  <si>
    <t>Türkiye</t>
  </si>
  <si>
    <t>Ukraine</t>
  </si>
  <si>
    <t>United Kingdom of Great Britain and Northern Ireland</t>
  </si>
  <si>
    <t>Uzbekistan</t>
  </si>
  <si>
    <t>Argentina</t>
  </si>
  <si>
    <t>Latin America &amp; Caribbean</t>
  </si>
  <si>
    <t>Bolivia (Plurinational State of)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</si>
  <si>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</si>
  <si>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</si>
  <si>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</si>
  <si>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</si>
  <si>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</si>
  <si>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</si>
  <si>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</si>
  <si>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Guatemala</t>
  </si>
  <si>
    <t>Guyana</t>
  </si>
  <si>
    <t>Honduras</t>
  </si>
  <si>
    <t>Jamaica</t>
  </si>
  <si>
    <t>Mexico</t>
  </si>
  <si>
    <t>Panama</t>
  </si>
  <si>
    <t>Paraguay</t>
  </si>
  <si>
    <t>Peru</t>
  </si>
  <si>
    <t>Uruguay</t>
  </si>
  <si>
    <t>Djibouti</t>
  </si>
  <si>
    <t>Middle East &amp; North Africa</t>
  </si>
  <si>
    <t>Egypt</t>
  </si>
  <si>
    <t>Israel</t>
  </si>
  <si>
    <t>Jordan</t>
  </si>
  <si>
    <t>Lebanon</t>
  </si>
  <si>
    <t>Qatar</t>
  </si>
  <si>
    <t>Tunisia</t>
  </si>
  <si>
    <t>Canada</t>
  </si>
  <si>
    <t>North America</t>
  </si>
  <si>
    <t>United States of America</t>
  </si>
  <si>
    <t>Afghanistan</t>
  </si>
  <si>
    <t>South Asia</t>
  </si>
  <si>
    <t>Low income</t>
  </si>
  <si>
    <t>Bangladesh</t>
  </si>
  <si>
    <t>India</t>
  </si>
  <si>
    <t>Nepal</t>
  </si>
  <si>
    <t>Pakistan</t>
  </si>
  <si>
    <t>Sri Lanka</t>
  </si>
  <si>
    <t>Benin</t>
  </si>
  <si>
    <t>Sub-Saharan Africa</t>
  </si>
  <si>
    <t>Botswana</t>
  </si>
  <si>
    <t>Burkina Faso</t>
  </si>
  <si>
    <t>Cabo Verde</t>
  </si>
  <si>
    <t>Chad</t>
  </si>
  <si>
    <t>Côte D'Ivoire</t>
  </si>
  <si>
    <t>Gambia (Republic of The)</t>
  </si>
  <si>
    <t>Ghana</t>
  </si>
  <si>
    <t>Guinea-Bissau</t>
  </si>
  <si>
    <t>Kenya</t>
  </si>
  <si>
    <t>Lesotho</t>
  </si>
  <si>
    <t>Liberia</t>
  </si>
  <si>
    <t>Mali</t>
  </si>
  <si>
    <t>Mauritania</t>
  </si>
  <si>
    <t>Mauritius</t>
  </si>
  <si>
    <t>Namibia</t>
  </si>
  <si>
    <t>Niger</t>
  </si>
  <si>
    <t>Nigeria</t>
  </si>
  <si>
    <t>Rwanda</t>
  </si>
  <si>
    <t>Senegal</t>
  </si>
  <si>
    <t>Sierra Leone</t>
  </si>
  <si>
    <t>South Africa</t>
  </si>
  <si>
    <t>Togo</t>
  </si>
  <si>
    <t>Uganda</t>
  </si>
  <si>
    <t>Zambia</t>
  </si>
  <si>
    <t>Zimbabwe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</si>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</sst>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theme="8"/>
        <bgColor theme="8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5" fontId="1" fillId="4" borderId="5" xfId="0" applyNumberFormat="1" applyFont="1" applyFill="1" applyBorder="1" applyAlignment="1">
      <alignment horizontal="center" vertical="center" wrapText="1"/>
    </xf>
    <xf numFmtId="3" fontId="1" fillId="5" borderId="6" xfId="0" applyNumberFormat="1" applyFont="1" applyFill="1" applyBorder="1" applyAlignment="1">
      <alignment horizontal="center" vertical="center" wrapText="1"/>
    </xf>
    <xf numFmtId="3" fontId="1" fillId="5" borderId="7" xfId="0" applyNumberFormat="1" applyFont="1" applyFill="1" applyBorder="1" applyAlignment="1">
      <alignment horizontal="center" vertical="center" wrapText="1"/>
    </xf>
    <xf numFmtId="3" fontId="1" fillId="5" borderId="8" xfId="0" applyNumberFormat="1" applyFont="1" applyFill="1" applyBorder="1" applyAlignment="1">
      <alignment horizontal="center" vertical="center" wrapText="1"/>
    </xf>
    <xf numFmtId="4" fontId="1" fillId="6" borderId="9" xfId="0" applyNumberFormat="1" applyFont="1" applyFill="1" applyBorder="1" applyAlignment="1">
      <alignment horizontal="center" vertical="center" wrapText="1"/>
    </xf>
    <xf numFmtId="164" fontId="1" fillId="7" borderId="10" xfId="0" applyNumberFormat="1" applyFont="1" applyFill="1" applyBorder="1" applyAlignment="1">
      <alignment horizontal="center" vertical="center" wrapText="1"/>
    </xf>
    <xf numFmtId="164" fontId="1" fillId="7" borderId="11" xfId="0" applyNumberFormat="1" applyFont="1" applyFill="1" applyBorder="1" applyAlignment="1">
      <alignment horizontal="center" vertical="center" wrapText="1"/>
    </xf>
    <xf numFmtId="164" fontId="1" fillId="7" borderId="12" xfId="0" applyNumberFormat="1" applyFont="1" applyFill="1" applyBorder="1" applyAlignment="1">
      <alignment horizontal="center" vertical="center" wrapText="1"/>
    </xf>
    <xf numFmtId="10" fontId="1" fillId="6" borderId="13" xfId="0" applyNumberFormat="1" applyFont="1" applyFill="1" applyBorder="1" applyAlignment="1">
      <alignment horizontal="center" vertical="center" wrapText="1"/>
    </xf>
    <xf numFmtId="10" fontId="1" fillId="6" borderId="11" xfId="0" applyNumberFormat="1" applyFont="1" applyFill="1" applyBorder="1" applyAlignment="1">
      <alignment horizontal="center" vertical="center" wrapText="1"/>
    </xf>
    <xf numFmtId="10" fontId="1" fillId="6" borderId="14" xfId="0" applyNumberFormat="1" applyFont="1" applyFill="1" applyBorder="1" applyAlignment="1">
      <alignment horizontal="center" vertical="center" wrapText="1"/>
    </xf>
    <xf numFmtId="3" fontId="1" fillId="8" borderId="5" xfId="0" applyNumberFormat="1" applyFont="1" applyFill="1" applyBorder="1" applyAlignment="1">
      <alignment horizontal="center" vertical="center" wrapText="1"/>
    </xf>
    <xf numFmtId="3" fontId="1" fillId="8" borderId="3" xfId="0" applyNumberFormat="1" applyFont="1" applyFill="1" applyBorder="1" applyAlignment="1">
      <alignment horizontal="center" vertical="center" wrapText="1"/>
    </xf>
    <xf numFmtId="10" fontId="1" fillId="0" borderId="13" xfId="0" applyNumberFormat="1" applyFont="1" applyBorder="1" applyAlignment="1">
      <alignment horizontal="center" vertical="center" wrapText="1"/>
    </xf>
    <xf numFmtId="10" fontId="1" fillId="0" borderId="12" xfId="0" applyNumberFormat="1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3" fontId="2" fillId="0" borderId="15" xfId="0" applyNumberFormat="1" applyFont="1" applyBorder="1" applyAlignment="1">
      <alignment vertical="center"/>
    </xf>
    <xf numFmtId="164" fontId="2" fillId="0" borderId="15" xfId="0" applyNumberFormat="1" applyFont="1" applyBorder="1" applyAlignment="1">
      <alignment vertical="center"/>
    </xf>
    <xf numFmtId="165" fontId="2" fillId="0" borderId="19" xfId="0" applyNumberFormat="1" applyFont="1" applyBorder="1" applyAlignment="1">
      <alignment vertical="center"/>
    </xf>
    <xf numFmtId="3" fontId="2" fillId="0" borderId="13" xfId="0" applyNumberFormat="1" applyFont="1" applyBorder="1" applyAlignment="1">
      <alignment vertical="center"/>
    </xf>
    <xf numFmtId="3" fontId="2" fillId="0" borderId="11" xfId="0" applyNumberFormat="1" applyFont="1" applyBorder="1" applyAlignment="1">
      <alignment vertical="center"/>
    </xf>
    <xf numFmtId="3" fontId="2" fillId="0" borderId="14" xfId="0" applyNumberFormat="1" applyFont="1" applyBorder="1" applyAlignment="1">
      <alignment vertical="center"/>
    </xf>
    <xf numFmtId="4" fontId="2" fillId="0" borderId="20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vertical="center"/>
    </xf>
    <xf numFmtId="164" fontId="2" fillId="0" borderId="22" xfId="0" applyNumberFormat="1" applyFont="1" applyBorder="1" applyAlignment="1">
      <alignment vertical="center"/>
    </xf>
    <xf numFmtId="164" fontId="2" fillId="0" borderId="23" xfId="0" applyNumberFormat="1" applyFont="1" applyBorder="1" applyAlignment="1">
      <alignment vertical="center"/>
    </xf>
    <xf numFmtId="10" fontId="2" fillId="0" borderId="24" xfId="0" applyNumberFormat="1" applyFont="1" applyBorder="1" applyAlignment="1">
      <alignment vertical="center"/>
    </xf>
    <xf numFmtId="10" fontId="2" fillId="0" borderId="22" xfId="0" applyNumberFormat="1" applyFont="1" applyBorder="1" applyAlignment="1">
      <alignment vertical="center"/>
    </xf>
    <xf numFmtId="10" fontId="2" fillId="0" borderId="25" xfId="0" applyNumberFormat="1" applyFont="1" applyBorder="1" applyAlignment="1">
      <alignment vertical="center"/>
    </xf>
    <xf numFmtId="3" fontId="2" fillId="0" borderId="19" xfId="0" applyNumberFormat="1" applyFont="1" applyBorder="1" applyAlignment="1">
      <alignment vertical="center"/>
    </xf>
    <xf numFmtId="3" fontId="2" fillId="0" borderId="17" xfId="0" applyNumberFormat="1" applyFont="1" applyBorder="1" applyAlignment="1">
      <alignment vertical="center"/>
    </xf>
    <xf numFmtId="10" fontId="2" fillId="0" borderId="24" xfId="0" applyNumberFormat="1" applyFont="1" applyBorder="1"/>
    <xf numFmtId="10" fontId="2" fillId="0" borderId="23" xfId="0" applyNumberFormat="1" applyFont="1" applyBorder="1"/>
    <xf numFmtId="0" fontId="3" fillId="9" borderId="24" xfId="0" applyFont="1" applyFill="1" applyBorder="1"/>
    <xf numFmtId="0" fontId="3" fillId="10" borderId="22" xfId="0" applyFont="1" applyFill="1" applyBorder="1"/>
    <xf numFmtId="0" fontId="3" fillId="0" borderId="24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3" fontId="2" fillId="0" borderId="24" xfId="0" applyNumberFormat="1" applyFont="1" applyBorder="1" applyAlignment="1">
      <alignment vertical="center"/>
    </xf>
    <xf numFmtId="164" fontId="2" fillId="0" borderId="24" xfId="0" applyNumberFormat="1" applyFont="1" applyBorder="1" applyAlignment="1">
      <alignment vertical="center"/>
    </xf>
    <xf numFmtId="165" fontId="2" fillId="0" borderId="21" xfId="0" applyNumberFormat="1" applyFont="1" applyBorder="1" applyAlignment="1">
      <alignment vertical="center"/>
    </xf>
    <xf numFmtId="3" fontId="2" fillId="0" borderId="22" xfId="0" applyNumberFormat="1" applyFont="1" applyBorder="1" applyAlignment="1">
      <alignment vertical="center"/>
    </xf>
    <xf numFmtId="3" fontId="2" fillId="0" borderId="25" xfId="0" applyNumberFormat="1" applyFont="1" applyBorder="1" applyAlignment="1">
      <alignment vertical="center"/>
    </xf>
    <xf numFmtId="3" fontId="2" fillId="0" borderId="21" xfId="0" applyNumberFormat="1" applyFont="1" applyBorder="1" applyAlignment="1">
      <alignment vertical="center"/>
    </xf>
    <xf numFmtId="3" fontId="2" fillId="0" borderId="23" xfId="0" applyNumberFormat="1" applyFont="1" applyBorder="1" applyAlignment="1">
      <alignment vertical="center"/>
    </xf>
    <xf numFmtId="0" fontId="3" fillId="10" borderId="25" xfId="0" applyFont="1" applyFill="1" applyBorder="1"/>
    <xf numFmtId="0" fontId="3" fillId="9" borderId="26" xfId="0" applyFont="1" applyFill="1" applyBorder="1"/>
    <xf numFmtId="0" fontId="3" fillId="10" borderId="0" xfId="0" applyFont="1" applyFill="1"/>
    <xf numFmtId="0" fontId="3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3" fontId="2" fillId="0" borderId="27" xfId="0" applyNumberFormat="1" applyFont="1" applyBorder="1" applyAlignment="1">
      <alignment vertical="center"/>
    </xf>
    <xf numFmtId="164" fontId="2" fillId="0" borderId="27" xfId="0" applyNumberFormat="1" applyFont="1" applyBorder="1" applyAlignment="1">
      <alignment vertical="center"/>
    </xf>
    <xf numFmtId="165" fontId="2" fillId="0" borderId="31" xfId="0" applyNumberFormat="1" applyFont="1" applyBorder="1" applyAlignment="1">
      <alignment vertical="center"/>
    </xf>
    <xf numFmtId="3" fontId="2" fillId="0" borderId="28" xfId="0" applyNumberFormat="1" applyFont="1" applyBorder="1" applyAlignment="1">
      <alignment vertical="center"/>
    </xf>
    <xf numFmtId="3" fontId="2" fillId="0" borderId="30" xfId="0" applyNumberFormat="1" applyFont="1" applyBorder="1" applyAlignment="1">
      <alignment vertical="center"/>
    </xf>
    <xf numFmtId="4" fontId="2" fillId="0" borderId="32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vertical="center"/>
    </xf>
    <xf numFmtId="164" fontId="2" fillId="0" borderId="28" xfId="0" applyNumberFormat="1" applyFont="1" applyBorder="1" applyAlignment="1">
      <alignment vertical="center"/>
    </xf>
    <xf numFmtId="164" fontId="2" fillId="0" borderId="29" xfId="0" applyNumberFormat="1" applyFont="1" applyBorder="1" applyAlignment="1">
      <alignment vertical="center"/>
    </xf>
    <xf numFmtId="10" fontId="2" fillId="0" borderId="27" xfId="0" applyNumberFormat="1" applyFont="1" applyBorder="1" applyAlignment="1">
      <alignment vertical="center"/>
    </xf>
    <xf numFmtId="10" fontId="2" fillId="0" borderId="28" xfId="0" applyNumberFormat="1" applyFont="1" applyBorder="1" applyAlignment="1">
      <alignment vertical="center"/>
    </xf>
    <xf numFmtId="10" fontId="2" fillId="0" borderId="30" xfId="0" applyNumberFormat="1" applyFont="1" applyBorder="1" applyAlignment="1">
      <alignment vertical="center"/>
    </xf>
    <xf numFmtId="3" fontId="2" fillId="0" borderId="31" xfId="0" applyNumberFormat="1" applyFont="1" applyBorder="1" applyAlignment="1">
      <alignment vertical="center"/>
    </xf>
    <xf numFmtId="3" fontId="2" fillId="0" borderId="29" xfId="0" applyNumberFormat="1" applyFont="1" applyBorder="1" applyAlignment="1">
      <alignment vertical="center"/>
    </xf>
    <xf numFmtId="10" fontId="2" fillId="0" borderId="27" xfId="0" applyNumberFormat="1" applyFont="1" applyBorder="1"/>
    <xf numFmtId="10" fontId="2" fillId="0" borderId="29" xfId="0" applyNumberFormat="1" applyFont="1" applyBorder="1"/>
    <xf numFmtId="0" fontId="3" fillId="9" borderId="27" xfId="0" applyFont="1" applyFill="1" applyBorder="1"/>
    <xf numFmtId="0" fontId="3" fillId="10" borderId="28" xfId="0" applyFont="1" applyFill="1" applyBorder="1"/>
    <xf numFmtId="0" fontId="1" fillId="0" borderId="33" xfId="0" applyFont="1" applyBorder="1" applyAlignment="1">
      <alignment vertical="center"/>
    </xf>
    <xf numFmtId="0" fontId="4" fillId="11" borderId="34" xfId="0" applyFont="1" applyFill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164" fontId="4" fillId="0" borderId="34" xfId="0" applyNumberFormat="1" applyFont="1" applyBorder="1" applyAlignment="1">
      <alignment vertical="center"/>
    </xf>
    <xf numFmtId="0" fontId="4" fillId="11" borderId="35" xfId="0" applyFont="1" applyFill="1" applyBorder="1" applyAlignment="1">
      <alignment vertical="center"/>
    </xf>
    <xf numFmtId="0" fontId="4" fillId="11" borderId="33" xfId="0" applyFont="1" applyFill="1" applyBorder="1" applyAlignment="1">
      <alignment vertical="center"/>
    </xf>
    <xf numFmtId="3" fontId="4" fillId="0" borderId="2" xfId="0" applyNumberFormat="1" applyFont="1" applyBorder="1" applyAlignment="1">
      <alignment vertical="center"/>
    </xf>
    <xf numFmtId="3" fontId="4" fillId="0" borderId="4" xfId="0" applyNumberFormat="1" applyFont="1" applyBorder="1" applyAlignment="1">
      <alignment vertical="center"/>
    </xf>
    <xf numFmtId="4" fontId="4" fillId="0" borderId="36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vertical="center"/>
    </xf>
    <xf numFmtId="10" fontId="4" fillId="0" borderId="1" xfId="0" applyNumberFormat="1" applyFont="1" applyBorder="1" applyAlignment="1">
      <alignment vertical="center"/>
    </xf>
    <xf numFmtId="10" fontId="4" fillId="0" borderId="2" xfId="0" applyNumberFormat="1" applyFont="1" applyBorder="1" applyAlignment="1">
      <alignment vertical="center"/>
    </xf>
    <xf numFmtId="10" fontId="4" fillId="0" borderId="4" xfId="0" applyNumberFormat="1" applyFont="1" applyBorder="1" applyAlignment="1">
      <alignment vertical="center"/>
    </xf>
    <xf numFmtId="3" fontId="4" fillId="0" borderId="5" xfId="0" applyNumberFormat="1" applyFont="1" applyBorder="1" applyAlignment="1">
      <alignment vertical="center"/>
    </xf>
    <xf numFmtId="3" fontId="4" fillId="0" borderId="3" xfId="0" applyNumberFormat="1" applyFont="1" applyBorder="1" applyAlignment="1">
      <alignment vertical="center"/>
    </xf>
    <xf numFmtId="10" fontId="4" fillId="0" borderId="1" xfId="0" applyNumberFormat="1" applyFont="1" applyBorder="1"/>
    <xf numFmtId="10" fontId="4" fillId="0" borderId="3" xfId="0" applyNumberFormat="1" applyFont="1" applyBorder="1"/>
    <xf numFmtId="0" fontId="4" fillId="9" borderId="34" xfId="0" applyFont="1" applyFill="1" applyBorder="1"/>
    <xf numFmtId="0" fontId="4" fillId="10" borderId="3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6"/>
  <sheetViews>
    <sheetView tabSelected="1" zoomScale="60" zoomScaleNormal="60" workbookViewId="0">
      <pane xSplit="1" ySplit="1" topLeftCell="AF2" activePane="bottomRight" state="frozen"/>
      <selection pane="topRight" activeCell="C1" sqref="C1"/>
      <selection pane="bottomLeft" activeCell="A2" sqref="A2"/>
      <selection pane="bottomRight" activeCell="AG3" sqref="AG3"/>
    </sheetView>
  </sheetViews>
  <sheetFormatPr defaultColWidth="14.453125" defaultRowHeight="15" customHeight="1" x14ac:dyDescent="0.35"/>
  <cols>
    <col min="1" max="1" width="19.453125" customWidth="1"/>
    <col min="2" max="2" width="12.08984375" customWidth="1"/>
    <col min="3" max="3" width="15.54296875" customWidth="1"/>
    <col min="4" max="4" width="14" customWidth="1"/>
    <col min="5" max="5" width="14.08984375" customWidth="1"/>
    <col min="6" max="6" width="13.81640625" customWidth="1"/>
    <col min="7" max="7" width="15.81640625" customWidth="1"/>
    <col min="8" max="8" width="16.54296875" customWidth="1"/>
    <col min="9" max="9" width="17.7265625" customWidth="1"/>
    <col min="10" max="10" width="11.7265625" customWidth="1"/>
    <col min="11" max="11" width="25.81640625" customWidth="1"/>
    <col min="12" max="12" width="12.81640625" customWidth="1"/>
    <col min="13" max="13" width="14.08984375" customWidth="1"/>
    <col min="14" max="14" width="12.54296875" customWidth="1"/>
    <col min="15" max="15" width="16.54296875" customWidth="1"/>
    <col min="16" max="16" width="14" customWidth="1"/>
    <col min="17" max="17" width="8.7265625" customWidth="1"/>
    <col min="18" max="18" width="12.81640625" customWidth="1"/>
    <col min="19" max="23" width="17.81640625" customWidth="1"/>
    <col min="24" max="28" width="21.453125" customWidth="1"/>
    <col min="29" max="29" width="17.81640625" customWidth="1"/>
    <col min="30" max="31" width="18.7265625" customWidth="1"/>
    <col min="32" max="32" width="21.54296875" customWidth="1"/>
    <col min="33" max="33" width="20.54296875" customWidth="1"/>
    <col min="34" max="34" width="27" customWidth="1"/>
    <col min="35" max="35" width="20.54296875" customWidth="1"/>
  </cols>
  <sheetData>
    <row r="1" spans="1:35" ht="44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4" t="s">
        <v>7</v>
      </c>
      <c r="I1" s="5" t="s">
        <v>8</v>
      </c>
      <c r="J1" s="4" t="s">
        <v>9</v>
      </c>
      <c r="K1" s="6" t="s">
        <v>10</v>
      </c>
      <c r="L1" s="2" t="s">
        <v>11</v>
      </c>
      <c r="M1" s="7" t="s">
        <v>12</v>
      </c>
      <c r="N1" s="3" t="s">
        <v>13</v>
      </c>
      <c r="O1" s="1" t="s">
        <v>14</v>
      </c>
      <c r="P1" s="4" t="s">
        <v>15</v>
      </c>
      <c r="Q1" s="8" t="s">
        <v>16</v>
      </c>
      <c r="R1" s="3" t="s">
        <v>17</v>
      </c>
      <c r="S1" s="9" t="s">
        <v>18</v>
      </c>
      <c r="T1" s="10" t="s">
        <v>19</v>
      </c>
      <c r="U1" s="11" t="s">
        <v>20</v>
      </c>
      <c r="V1" s="12" t="s">
        <v>21</v>
      </c>
      <c r="W1" s="13" t="s">
        <v>22</v>
      </c>
      <c r="X1" s="14" t="s">
        <v>23</v>
      </c>
      <c r="Y1" s="15" t="s">
        <v>24</v>
      </c>
      <c r="Z1" s="16" t="s">
        <v>25</v>
      </c>
      <c r="AA1" s="17" t="s">
        <v>26</v>
      </c>
      <c r="AB1" s="18" t="s">
        <v>27</v>
      </c>
      <c r="AC1" s="19" t="s">
        <v>28</v>
      </c>
      <c r="AD1" s="20" t="s">
        <v>29</v>
      </c>
      <c r="AE1" s="20" t="s">
        <v>30</v>
      </c>
      <c r="AF1" s="21" t="s">
        <v>31</v>
      </c>
      <c r="AG1" s="22" t="s">
        <v>32</v>
      </c>
      <c r="AH1" s="23" t="s">
        <v>33</v>
      </c>
      <c r="AI1" s="24" t="s">
        <v>34</v>
      </c>
    </row>
    <row r="2" spans="1:35" ht="14.5" x14ac:dyDescent="0.35">
      <c r="A2" s="25" t="s">
        <v>35</v>
      </c>
      <c r="B2" s="26">
        <v>9.3253926202233792</v>
      </c>
      <c r="C2" s="26">
        <v>10.024001561827101</v>
      </c>
      <c r="D2" s="26">
        <v>8.8225873056867101</v>
      </c>
      <c r="E2" s="27">
        <v>11.2254158179675</v>
      </c>
      <c r="F2" s="28">
        <v>6.4075987093842199</v>
      </c>
      <c r="G2" s="26">
        <v>3.8768070265740602</v>
      </c>
      <c r="H2" s="29">
        <v>9.3253926202233792</v>
      </c>
      <c r="I2" s="30">
        <v>26658948</v>
      </c>
      <c r="J2" s="29">
        <v>2023</v>
      </c>
      <c r="K2" s="31">
        <v>1728057316695.6101</v>
      </c>
      <c r="L2" s="26">
        <v>2023</v>
      </c>
      <c r="M2" s="31">
        <v>64820.911789002603</v>
      </c>
      <c r="N2" s="27">
        <v>2023</v>
      </c>
      <c r="O2" s="28">
        <v>5.5970149253730996</v>
      </c>
      <c r="P2" s="29">
        <v>2023</v>
      </c>
      <c r="Q2" s="32">
        <v>27.726062500000001</v>
      </c>
      <c r="R2" s="27">
        <v>2021</v>
      </c>
      <c r="S2" s="33">
        <f t="shared" ref="S2:U2" si="0">(AC2*40)* 48</f>
        <v>3279740943.3281469</v>
      </c>
      <c r="T2" s="34">
        <f t="shared" si="0"/>
        <v>1984350661.007472</v>
      </c>
      <c r="U2" s="35">
        <f t="shared" si="0"/>
        <v>5264091604.335619</v>
      </c>
      <c r="V2" s="36">
        <f t="shared" ref="V2:V116" si="1">T2/I2</f>
        <v>74.434694910221964</v>
      </c>
      <c r="W2" s="37">
        <f t="shared" ref="W2:W115" si="2">S2* Q2</f>
        <v>90934302378.525162</v>
      </c>
      <c r="X2" s="38">
        <f t="shared" ref="X2:X115" si="3">T2* Q2</f>
        <v>55018230449.009483</v>
      </c>
      <c r="Y2" s="39">
        <f t="shared" ref="Y2:Y115" si="4">W2+X2</f>
        <v>145952532827.53464</v>
      </c>
      <c r="Z2" s="40">
        <f t="shared" ref="Z2:Z116" si="5">W2/K2</f>
        <v>5.2622272131811962E-2</v>
      </c>
      <c r="AA2" s="41">
        <f t="shared" ref="AA2:AA116" si="6">X2/K2</f>
        <v>3.1838197678659932E-2</v>
      </c>
      <c r="AB2" s="42">
        <f t="shared" ref="AB2:AB116" si="7">Z2+AA2</f>
        <v>8.4460469810471894E-2</v>
      </c>
      <c r="AC2" s="43">
        <v>1708198.4079834099</v>
      </c>
      <c r="AD2" s="44">
        <v>1033515.969274725</v>
      </c>
      <c r="AE2" s="44">
        <f t="shared" ref="AE2:AE115" si="8">AC2+AD2</f>
        <v>2741714.377258135</v>
      </c>
      <c r="AF2" s="45">
        <f t="shared" ref="AF2:AF116" si="9">AC2/AE2</f>
        <v>0.62304024888679399</v>
      </c>
      <c r="AG2" s="46">
        <f t="shared" ref="AG2:AG116" si="10">AD2/AE2</f>
        <v>0.3769597511132059</v>
      </c>
      <c r="AH2" s="47" t="s">
        <v>36</v>
      </c>
      <c r="AI2" s="48" t="s">
        <v>37</v>
      </c>
    </row>
    <row r="3" spans="1:35" ht="14.5" x14ac:dyDescent="0.35">
      <c r="A3" s="49" t="s">
        <v>38</v>
      </c>
      <c r="B3" s="50"/>
      <c r="C3" s="50">
        <v>2.2035576770055201</v>
      </c>
      <c r="D3" s="50">
        <v>1.37232229537538</v>
      </c>
      <c r="E3" s="51">
        <v>3.03479305863566</v>
      </c>
      <c r="F3" s="52">
        <v>1.4192451361634899</v>
      </c>
      <c r="G3" s="50">
        <v>0.86406639282741204</v>
      </c>
      <c r="H3" s="53">
        <v>2.2035576770055201</v>
      </c>
      <c r="I3" s="54">
        <v>17423880</v>
      </c>
      <c r="J3" s="53">
        <v>2023</v>
      </c>
      <c r="K3" s="55">
        <v>42335646895.798401</v>
      </c>
      <c r="L3" s="50">
        <v>2023</v>
      </c>
      <c r="M3" s="55">
        <v>2429.7485345283799</v>
      </c>
      <c r="N3" s="51">
        <v>2023</v>
      </c>
      <c r="O3" s="52">
        <v>2.12746796594194</v>
      </c>
      <c r="P3" s="53">
        <v>2023</v>
      </c>
      <c r="Q3" s="56">
        <v>1.2490000000000001</v>
      </c>
      <c r="R3" s="51">
        <v>2021</v>
      </c>
      <c r="S3" s="54">
        <f t="shared" ref="S3:U3" si="11">(AC3*40)* 48</f>
        <v>474792133.3074491</v>
      </c>
      <c r="T3" s="57">
        <f t="shared" si="11"/>
        <v>289063471.50062764</v>
      </c>
      <c r="U3" s="58">
        <f t="shared" si="11"/>
        <v>763855604.80807674</v>
      </c>
      <c r="V3" s="36">
        <f t="shared" si="1"/>
        <v>16.590074742286312</v>
      </c>
      <c r="W3" s="37">
        <f t="shared" si="2"/>
        <v>593015374.50100398</v>
      </c>
      <c r="X3" s="38">
        <f t="shared" si="3"/>
        <v>361040275.90428394</v>
      </c>
      <c r="Y3" s="39">
        <f t="shared" si="4"/>
        <v>954055650.40528798</v>
      </c>
      <c r="Z3" s="40">
        <f t="shared" si="5"/>
        <v>1.4007471669456355E-2</v>
      </c>
      <c r="AA3" s="41">
        <f t="shared" si="6"/>
        <v>8.5280443875800412E-3</v>
      </c>
      <c r="AB3" s="42">
        <f t="shared" si="7"/>
        <v>2.2535516057036395E-2</v>
      </c>
      <c r="AC3" s="59">
        <v>247287.56943096311</v>
      </c>
      <c r="AD3" s="60">
        <v>150553.89140657691</v>
      </c>
      <c r="AE3" s="60">
        <f t="shared" si="8"/>
        <v>397841.46083753998</v>
      </c>
      <c r="AF3" s="45">
        <f t="shared" si="9"/>
        <v>0.6215731485360293</v>
      </c>
      <c r="AG3" s="46">
        <f t="shared" si="10"/>
        <v>0.37842685146397081</v>
      </c>
      <c r="AH3" s="47" t="s">
        <v>36</v>
      </c>
      <c r="AI3" s="48" t="s">
        <v>39</v>
      </c>
    </row>
    <row r="4" spans="1:35" ht="14.5" x14ac:dyDescent="0.35">
      <c r="A4" s="49" t="s">
        <v>40</v>
      </c>
      <c r="B4" s="50"/>
      <c r="C4" s="50">
        <v>2.1863858382752501</v>
      </c>
      <c r="D4" s="50">
        <v>1.3703934945740901</v>
      </c>
      <c r="E4" s="51">
        <v>3.0023781819764102</v>
      </c>
      <c r="F4" s="52">
        <v>1.3827281007285701</v>
      </c>
      <c r="G4" s="50">
        <v>0.79634256133509296</v>
      </c>
      <c r="H4" s="53">
        <v>2.1863858382752501</v>
      </c>
      <c r="I4" s="54">
        <v>281190067</v>
      </c>
      <c r="J4" s="53">
        <v>2023</v>
      </c>
      <c r="K4" s="55">
        <v>1371171152331.1599</v>
      </c>
      <c r="L4" s="50">
        <v>2023</v>
      </c>
      <c r="M4" s="55">
        <v>4876.3143270318797</v>
      </c>
      <c r="N4" s="51">
        <v>2023</v>
      </c>
      <c r="O4" s="52">
        <v>3.6701314237700702</v>
      </c>
      <c r="P4" s="53">
        <v>2023</v>
      </c>
      <c r="Q4" s="56">
        <v>1.0720000000000001</v>
      </c>
      <c r="R4" s="51">
        <v>2023</v>
      </c>
      <c r="S4" s="54">
        <f t="shared" ref="S4:U4" si="12">(AC4*40)* 48</f>
        <v>7465140619.9036674</v>
      </c>
      <c r="T4" s="57">
        <f t="shared" si="12"/>
        <v>4299333468.9939156</v>
      </c>
      <c r="U4" s="58">
        <f t="shared" si="12"/>
        <v>11764474088.897583</v>
      </c>
      <c r="V4" s="36">
        <f t="shared" si="1"/>
        <v>15.289777177633788</v>
      </c>
      <c r="W4" s="37">
        <f t="shared" si="2"/>
        <v>8002630744.5367317</v>
      </c>
      <c r="X4" s="38">
        <f t="shared" si="3"/>
        <v>4608885478.7614775</v>
      </c>
      <c r="Y4" s="39">
        <f t="shared" si="4"/>
        <v>12611516223.29821</v>
      </c>
      <c r="Z4" s="40">
        <f t="shared" si="5"/>
        <v>5.8363470752219905E-3</v>
      </c>
      <c r="AA4" s="41">
        <f t="shared" si="6"/>
        <v>3.3612765780010791E-3</v>
      </c>
      <c r="AB4" s="42">
        <f t="shared" si="7"/>
        <v>9.1976236532230696E-3</v>
      </c>
      <c r="AC4" s="59">
        <v>3888094.0728664938</v>
      </c>
      <c r="AD4" s="60">
        <v>2239236.1817676639</v>
      </c>
      <c r="AE4" s="60">
        <f t="shared" si="8"/>
        <v>6127330.2546341578</v>
      </c>
      <c r="AF4" s="45">
        <f t="shared" si="9"/>
        <v>0.63454945486672465</v>
      </c>
      <c r="AG4" s="46">
        <f t="shared" si="10"/>
        <v>0.36545054513327535</v>
      </c>
      <c r="AH4" s="47" t="s">
        <v>36</v>
      </c>
      <c r="AI4" s="48" t="s">
        <v>39</v>
      </c>
    </row>
    <row r="5" spans="1:35" ht="14.5" x14ac:dyDescent="0.35">
      <c r="A5" s="49" t="s">
        <v>41</v>
      </c>
      <c r="B5" s="50">
        <v>8.2623289439710792</v>
      </c>
      <c r="C5" s="50">
        <v>8.6804897495584203</v>
      </c>
      <c r="D5" s="50">
        <v>7.8505274649447196</v>
      </c>
      <c r="E5" s="51">
        <v>9.5104520341721202</v>
      </c>
      <c r="F5" s="52">
        <v>6.3528572662790399</v>
      </c>
      <c r="G5" s="50">
        <v>2.3895311816930001</v>
      </c>
      <c r="H5" s="53">
        <v>8.2623289439710792</v>
      </c>
      <c r="I5" s="54">
        <v>124516650</v>
      </c>
      <c r="J5" s="53">
        <v>2023</v>
      </c>
      <c r="K5" s="55">
        <v>4204494802431.5498</v>
      </c>
      <c r="L5" s="50">
        <v>2023</v>
      </c>
      <c r="M5" s="55">
        <v>33766.526825380803</v>
      </c>
      <c r="N5" s="51">
        <v>2023</v>
      </c>
      <c r="O5" s="52">
        <v>3.2681336593316299</v>
      </c>
      <c r="P5" s="53">
        <v>2023</v>
      </c>
      <c r="Q5" s="56">
        <v>17.505006250000001</v>
      </c>
      <c r="R5" s="51">
        <v>2021</v>
      </c>
      <c r="S5" s="54">
        <f t="shared" ref="S5:U5" si="13">(AC5*40)* 48</f>
        <v>15187900890.7243</v>
      </c>
      <c r="T5" s="57">
        <f t="shared" si="13"/>
        <v>5712699222.0471115</v>
      </c>
      <c r="U5" s="58">
        <f t="shared" si="13"/>
        <v>20900600112.771412</v>
      </c>
      <c r="V5" s="36">
        <f t="shared" si="1"/>
        <v>45.878998688505604</v>
      </c>
      <c r="W5" s="37">
        <f t="shared" si="2"/>
        <v>265864300016.50946</v>
      </c>
      <c r="X5" s="38">
        <f t="shared" si="3"/>
        <v>100000835586.30482</v>
      </c>
      <c r="Y5" s="39">
        <f t="shared" si="4"/>
        <v>365865135602.81427</v>
      </c>
      <c r="Z5" s="40">
        <f t="shared" si="5"/>
        <v>6.3233352045709373E-2</v>
      </c>
      <c r="AA5" s="41">
        <f t="shared" si="6"/>
        <v>2.3784269046657446E-2</v>
      </c>
      <c r="AB5" s="42">
        <f t="shared" si="7"/>
        <v>8.7017621092366826E-2</v>
      </c>
      <c r="AC5" s="59">
        <v>7910365.0472522397</v>
      </c>
      <c r="AD5" s="60">
        <v>2975364.1781495372</v>
      </c>
      <c r="AE5" s="60">
        <f t="shared" si="8"/>
        <v>10885729.225401778</v>
      </c>
      <c r="AF5" s="45">
        <f t="shared" si="9"/>
        <v>0.72667295717713198</v>
      </c>
      <c r="AG5" s="46">
        <f t="shared" si="10"/>
        <v>0.27332704282286796</v>
      </c>
      <c r="AH5" s="47" t="s">
        <v>36</v>
      </c>
      <c r="AI5" s="48" t="s">
        <v>37</v>
      </c>
    </row>
    <row r="6" spans="1:35" ht="14.5" x14ac:dyDescent="0.35">
      <c r="A6" s="49" t="s">
        <v>42</v>
      </c>
      <c r="B6" s="50"/>
      <c r="C6" s="50">
        <v>4.1170229526305704</v>
      </c>
      <c r="D6" s="50">
        <v>1.98875166364611</v>
      </c>
      <c r="E6" s="51">
        <v>6.2452942416150297</v>
      </c>
      <c r="F6" s="52">
        <v>2.6841824566442698</v>
      </c>
      <c r="G6" s="50">
        <v>2.00823706488015</v>
      </c>
      <c r="H6" s="53">
        <v>4.1170229526305704</v>
      </c>
      <c r="I6" s="54">
        <v>7664993</v>
      </c>
      <c r="J6" s="53">
        <v>2023</v>
      </c>
      <c r="K6" s="55">
        <v>15843155731.255199</v>
      </c>
      <c r="L6" s="50">
        <v>2023</v>
      </c>
      <c r="M6" s="55">
        <v>2066.9497977695701</v>
      </c>
      <c r="N6" s="51">
        <v>2023</v>
      </c>
      <c r="O6" s="52">
        <v>31.230134173264599</v>
      </c>
      <c r="P6" s="53">
        <v>2023</v>
      </c>
      <c r="Q6" s="56">
        <v>1.127</v>
      </c>
      <c r="R6" s="51">
        <v>2022</v>
      </c>
      <c r="S6" s="54">
        <f t="shared" ref="S6:U6" si="14">(AC6*40)* 48</f>
        <v>395025403.02530169</v>
      </c>
      <c r="T6" s="57">
        <f t="shared" si="14"/>
        <v>295547962.45722049</v>
      </c>
      <c r="U6" s="58">
        <f t="shared" si="14"/>
        <v>690573365.48252213</v>
      </c>
      <c r="V6" s="36">
        <f t="shared" si="1"/>
        <v>38.558151645698892</v>
      </c>
      <c r="W6" s="37">
        <f t="shared" si="2"/>
        <v>445193629.20951504</v>
      </c>
      <c r="X6" s="38">
        <f t="shared" si="3"/>
        <v>333082553.68928748</v>
      </c>
      <c r="Y6" s="39">
        <f t="shared" si="4"/>
        <v>778276182.89880252</v>
      </c>
      <c r="Z6" s="40">
        <f t="shared" si="5"/>
        <v>2.8100060162335086E-2</v>
      </c>
      <c r="AA6" s="41">
        <f t="shared" si="6"/>
        <v>2.102375052920713E-2</v>
      </c>
      <c r="AB6" s="42">
        <f t="shared" si="7"/>
        <v>4.9123810691542216E-2</v>
      </c>
      <c r="AC6" s="59">
        <v>205742.39740901129</v>
      </c>
      <c r="AD6" s="60">
        <v>153931.23044646901</v>
      </c>
      <c r="AE6" s="60">
        <f t="shared" si="8"/>
        <v>359673.6278554803</v>
      </c>
      <c r="AF6" s="45">
        <f t="shared" si="9"/>
        <v>0.57202525143622762</v>
      </c>
      <c r="AG6" s="46">
        <f t="shared" si="10"/>
        <v>0.42797474856377238</v>
      </c>
      <c r="AH6" s="47" t="s">
        <v>36</v>
      </c>
      <c r="AI6" s="48" t="s">
        <v>39</v>
      </c>
    </row>
    <row r="7" spans="1:35" ht="14.5" x14ac:dyDescent="0.35">
      <c r="A7" s="49" t="s">
        <v>43</v>
      </c>
      <c r="B7" s="50"/>
      <c r="C7" s="50">
        <v>2.8747503075072101</v>
      </c>
      <c r="D7" s="50">
        <v>1.97337581776612</v>
      </c>
      <c r="E7" s="51">
        <v>3.7761247972483001</v>
      </c>
      <c r="F7" s="52">
        <v>1.84456364052535</v>
      </c>
      <c r="G7" s="50">
        <v>1.0547938416506299</v>
      </c>
      <c r="H7" s="53">
        <v>2.8747503075072101</v>
      </c>
      <c r="I7" s="54">
        <v>35126298</v>
      </c>
      <c r="J7" s="53">
        <v>2023</v>
      </c>
      <c r="K7" s="55">
        <v>399705169318.47699</v>
      </c>
      <c r="L7" s="50">
        <v>2023</v>
      </c>
      <c r="M7" s="55">
        <v>11379.086100063199</v>
      </c>
      <c r="N7" s="51">
        <v>2023</v>
      </c>
      <c r="O7" s="52">
        <v>2.4888656012575399</v>
      </c>
      <c r="P7" s="53">
        <v>2023</v>
      </c>
      <c r="Q7" s="56">
        <v>3.8</v>
      </c>
      <c r="R7" s="51">
        <v>2020</v>
      </c>
      <c r="S7" s="54">
        <f t="shared" ref="S7:U7" si="15">(AC7*40)* 48</f>
        <v>1244019688.6475196</v>
      </c>
      <c r="T7" s="57">
        <f t="shared" si="15"/>
        <v>711379253.95938897</v>
      </c>
      <c r="U7" s="58">
        <f t="shared" si="15"/>
        <v>1955398942.6069086</v>
      </c>
      <c r="V7" s="36">
        <f t="shared" si="1"/>
        <v>20.252041759692098</v>
      </c>
      <c r="W7" s="37">
        <f t="shared" si="2"/>
        <v>4727274816.8605738</v>
      </c>
      <c r="X7" s="38">
        <f t="shared" si="3"/>
        <v>2703241165.0456781</v>
      </c>
      <c r="Y7" s="39">
        <f t="shared" si="4"/>
        <v>7430515981.9062519</v>
      </c>
      <c r="Z7" s="40">
        <f t="shared" si="5"/>
        <v>1.1826904377846505E-2</v>
      </c>
      <c r="AA7" s="41">
        <f t="shared" si="6"/>
        <v>6.7630878270973534E-3</v>
      </c>
      <c r="AB7" s="42">
        <f t="shared" si="7"/>
        <v>1.858999220494386E-2</v>
      </c>
      <c r="AC7" s="59">
        <v>647926.92117058311</v>
      </c>
      <c r="AD7" s="60">
        <v>370510.0281038484</v>
      </c>
      <c r="AE7" s="60">
        <f t="shared" si="8"/>
        <v>1018436.9492744314</v>
      </c>
      <c r="AF7" s="45">
        <f t="shared" si="9"/>
        <v>0.63619738230450884</v>
      </c>
      <c r="AG7" s="46">
        <f t="shared" si="10"/>
        <v>0.36380261769549127</v>
      </c>
      <c r="AH7" s="47" t="s">
        <v>36</v>
      </c>
      <c r="AI7" s="48" t="s">
        <v>44</v>
      </c>
    </row>
    <row r="8" spans="1:35" ht="14.5" x14ac:dyDescent="0.35">
      <c r="A8" s="49" t="s">
        <v>45</v>
      </c>
      <c r="B8" s="50"/>
      <c r="C8" s="50">
        <v>3.6726250176198798</v>
      </c>
      <c r="D8" s="50">
        <v>2.7246761444346399</v>
      </c>
      <c r="E8" s="51">
        <v>4.6205738908051197</v>
      </c>
      <c r="F8" s="52">
        <v>2.4290854651273301</v>
      </c>
      <c r="G8" s="50">
        <v>1.5332166743275299</v>
      </c>
      <c r="H8" s="53">
        <v>3.6726250176198798</v>
      </c>
      <c r="I8" s="54">
        <v>3481145</v>
      </c>
      <c r="J8" s="53">
        <v>2023</v>
      </c>
      <c r="K8" s="55">
        <v>20325121393.907398</v>
      </c>
      <c r="L8" s="50">
        <v>2023</v>
      </c>
      <c r="M8" s="55">
        <v>5838.6310808390199</v>
      </c>
      <c r="N8" s="51">
        <v>2023</v>
      </c>
      <c r="O8" s="52">
        <v>10.3475831314339</v>
      </c>
      <c r="P8" s="53">
        <v>2023</v>
      </c>
      <c r="Q8" s="56">
        <v>1.8979999999999999</v>
      </c>
      <c r="R8" s="51">
        <v>2023</v>
      </c>
      <c r="S8" s="54">
        <f t="shared" ref="S8:U8" si="16">(AC8*40)* 48</f>
        <v>162355175.45281303</v>
      </c>
      <c r="T8" s="57">
        <f t="shared" si="16"/>
        <v>102477111.54723667</v>
      </c>
      <c r="U8" s="58">
        <f t="shared" si="16"/>
        <v>264832287.00004971</v>
      </c>
      <c r="V8" s="36">
        <f t="shared" si="1"/>
        <v>29.437760147088579</v>
      </c>
      <c r="W8" s="37">
        <f t="shared" si="2"/>
        <v>308150123.00943911</v>
      </c>
      <c r="X8" s="38">
        <f t="shared" si="3"/>
        <v>194501557.71665519</v>
      </c>
      <c r="Y8" s="39">
        <f t="shared" si="4"/>
        <v>502651680.72609431</v>
      </c>
      <c r="Z8" s="40">
        <f t="shared" si="5"/>
        <v>1.5161047111965064E-2</v>
      </c>
      <c r="AA8" s="41">
        <f t="shared" si="6"/>
        <v>9.5695151801139279E-3</v>
      </c>
      <c r="AB8" s="42">
        <f t="shared" si="7"/>
        <v>2.4730562292078991E-2</v>
      </c>
      <c r="AC8" s="59">
        <v>84559.987215006797</v>
      </c>
      <c r="AD8" s="60">
        <v>53373.495597519097</v>
      </c>
      <c r="AE8" s="60">
        <f t="shared" si="8"/>
        <v>137933.48281252588</v>
      </c>
      <c r="AF8" s="45">
        <f t="shared" si="9"/>
        <v>0.6130490254490103</v>
      </c>
      <c r="AG8" s="46">
        <f t="shared" si="10"/>
        <v>0.38695097455098987</v>
      </c>
      <c r="AH8" s="47" t="s">
        <v>36</v>
      </c>
      <c r="AI8" s="48" t="s">
        <v>39</v>
      </c>
    </row>
    <row r="9" spans="1:35" ht="14.5" x14ac:dyDescent="0.35">
      <c r="A9" s="49" t="s">
        <v>46</v>
      </c>
      <c r="B9" s="50"/>
      <c r="C9" s="50">
        <v>2.5565644616108898</v>
      </c>
      <c r="D9" s="50">
        <v>1.76399634889066</v>
      </c>
      <c r="E9" s="51">
        <v>3.3491325743311302</v>
      </c>
      <c r="F9" s="52">
        <v>1.58161691122649</v>
      </c>
      <c r="G9" s="50">
        <v>0.98312505229790903</v>
      </c>
      <c r="H9" s="53">
        <v>2.5565644616108898</v>
      </c>
      <c r="I9" s="54">
        <v>54133798</v>
      </c>
      <c r="J9" s="53">
        <v>2023</v>
      </c>
      <c r="K9" s="55">
        <v>66757619000</v>
      </c>
      <c r="L9" s="50">
        <v>2023</v>
      </c>
      <c r="M9" s="55">
        <v>1233.1966620926901</v>
      </c>
      <c r="N9" s="51">
        <v>2023</v>
      </c>
      <c r="O9" s="52">
        <v>8.8250669680455793</v>
      </c>
      <c r="P9" s="53">
        <v>2019</v>
      </c>
      <c r="Q9" s="56">
        <v>1.2050000000000001</v>
      </c>
      <c r="R9" s="51">
        <v>2020</v>
      </c>
      <c r="S9" s="54">
        <f t="shared" ref="S9:U9" si="17">(AC9*40)* 48</f>
        <v>1643883463.4057999</v>
      </c>
      <c r="T9" s="57">
        <f t="shared" si="17"/>
        <v>1021829625.4048214</v>
      </c>
      <c r="U9" s="58">
        <f t="shared" si="17"/>
        <v>2665713088.8106208</v>
      </c>
      <c r="V9" s="36">
        <f t="shared" si="1"/>
        <v>18.876001004119853</v>
      </c>
      <c r="W9" s="37">
        <f t="shared" si="2"/>
        <v>1980879573.4039888</v>
      </c>
      <c r="X9" s="38">
        <f t="shared" si="3"/>
        <v>1231304698.6128099</v>
      </c>
      <c r="Y9" s="39">
        <f t="shared" si="4"/>
        <v>3212184272.016799</v>
      </c>
      <c r="Z9" s="40">
        <f t="shared" si="5"/>
        <v>2.9672711565761338E-2</v>
      </c>
      <c r="AA9" s="41">
        <f t="shared" si="6"/>
        <v>1.844440705131814E-2</v>
      </c>
      <c r="AB9" s="42">
        <f t="shared" si="7"/>
        <v>4.8117118617079478E-2</v>
      </c>
      <c r="AC9" s="59">
        <v>856189.30385718739</v>
      </c>
      <c r="AD9" s="60">
        <v>532202.92989834445</v>
      </c>
      <c r="AE9" s="60">
        <f t="shared" si="8"/>
        <v>1388392.2337555317</v>
      </c>
      <c r="AF9" s="45">
        <f t="shared" si="9"/>
        <v>0.61667681728616275</v>
      </c>
      <c r="AG9" s="46">
        <f t="shared" si="10"/>
        <v>0.38332318271383736</v>
      </c>
      <c r="AH9" s="47" t="s">
        <v>36</v>
      </c>
      <c r="AI9" s="48" t="s">
        <v>39</v>
      </c>
    </row>
    <row r="10" spans="1:35" ht="14.5" x14ac:dyDescent="0.35">
      <c r="A10" s="49" t="s">
        <v>47</v>
      </c>
      <c r="B10" s="50">
        <v>10.1086681829669</v>
      </c>
      <c r="C10" s="50">
        <v>10.155646420256399</v>
      </c>
      <c r="D10" s="50">
        <v>9.4119987931211195</v>
      </c>
      <c r="E10" s="51">
        <v>10.899294047391701</v>
      </c>
      <c r="F10" s="52">
        <v>4.5438241232301397</v>
      </c>
      <c r="G10" s="50">
        <v>5.5293868581858101</v>
      </c>
      <c r="H10" s="53">
        <v>10.1086681829669</v>
      </c>
      <c r="I10" s="54">
        <v>5223100</v>
      </c>
      <c r="J10" s="53">
        <v>2023</v>
      </c>
      <c r="K10" s="55">
        <v>252175506110.168</v>
      </c>
      <c r="L10" s="50">
        <v>2023</v>
      </c>
      <c r="M10" s="55">
        <v>48280.811416623801</v>
      </c>
      <c r="N10" s="51">
        <v>2023</v>
      </c>
      <c r="O10" s="52">
        <v>5.7331628303495696</v>
      </c>
      <c r="P10" s="53">
        <v>2023</v>
      </c>
      <c r="Q10" s="56">
        <v>23.7369375</v>
      </c>
      <c r="R10" s="51">
        <v>2022</v>
      </c>
      <c r="S10" s="54">
        <f t="shared" ref="S10:U10" si="18">(AC10*40)* 48</f>
        <v>455670677.33843219</v>
      </c>
      <c r="T10" s="57">
        <f t="shared" si="18"/>
        <v>554506377.58061361</v>
      </c>
      <c r="U10" s="58">
        <f t="shared" si="18"/>
        <v>1010177054.9190457</v>
      </c>
      <c r="V10" s="36">
        <f t="shared" si="1"/>
        <v>106.1642276771675</v>
      </c>
      <c r="W10" s="37">
        <f t="shared" si="2"/>
        <v>10816226388.565031</v>
      </c>
      <c r="X10" s="38">
        <f t="shared" si="3"/>
        <v>13162283227.982426</v>
      </c>
      <c r="Y10" s="39">
        <f t="shared" si="4"/>
        <v>23978509616.547455</v>
      </c>
      <c r="Z10" s="40">
        <f t="shared" si="5"/>
        <v>4.2891661269591118E-2</v>
      </c>
      <c r="AA10" s="41">
        <f t="shared" si="6"/>
        <v>5.2194931343697647E-2</v>
      </c>
      <c r="AB10" s="42">
        <f t="shared" si="7"/>
        <v>9.5086592613288765E-2</v>
      </c>
      <c r="AC10" s="59">
        <v>237328.4777804334</v>
      </c>
      <c r="AD10" s="60">
        <v>288805.40498990298</v>
      </c>
      <c r="AE10" s="60">
        <f t="shared" si="8"/>
        <v>526133.88277033635</v>
      </c>
      <c r="AF10" s="45">
        <f t="shared" si="9"/>
        <v>0.45108001129064346</v>
      </c>
      <c r="AG10" s="46">
        <f t="shared" si="10"/>
        <v>0.54891998870935665</v>
      </c>
      <c r="AH10" s="47" t="s">
        <v>36</v>
      </c>
      <c r="AI10" s="48" t="s">
        <v>37</v>
      </c>
    </row>
    <row r="11" spans="1:35" ht="14.5" x14ac:dyDescent="0.35">
      <c r="A11" s="49" t="s">
        <v>48</v>
      </c>
      <c r="B11" s="50">
        <v>1.9565665118194899</v>
      </c>
      <c r="C11" s="50">
        <v>2.3859550960447602</v>
      </c>
      <c r="D11" s="50">
        <v>1.51544114910303</v>
      </c>
      <c r="E11" s="51">
        <v>3.25646904298649</v>
      </c>
      <c r="F11" s="52">
        <v>1.0609281212772299</v>
      </c>
      <c r="G11" s="50">
        <v>1.2973201452037</v>
      </c>
      <c r="H11" s="53">
        <v>1.9565665118194899</v>
      </c>
      <c r="I11" s="54">
        <v>114891199</v>
      </c>
      <c r="J11" s="53">
        <v>2023</v>
      </c>
      <c r="K11" s="55">
        <v>437146372729.94202</v>
      </c>
      <c r="L11" s="50">
        <v>2023</v>
      </c>
      <c r="M11" s="55">
        <v>3804.8725797521001</v>
      </c>
      <c r="N11" s="51">
        <v>2023</v>
      </c>
      <c r="O11" s="52">
        <v>5.9780251554140902</v>
      </c>
      <c r="P11" s="53">
        <v>2023</v>
      </c>
      <c r="Q11" s="56">
        <v>1.879</v>
      </c>
      <c r="R11" s="51">
        <v>2022</v>
      </c>
      <c r="S11" s="54">
        <f t="shared" ref="S11:U11" si="19">(AC11*40)* 48</f>
        <v>2340313035.0020814</v>
      </c>
      <c r="T11" s="57">
        <f t="shared" si="19"/>
        <v>2861772805.8106985</v>
      </c>
      <c r="U11" s="58">
        <f t="shared" si="19"/>
        <v>5202085840.8127804</v>
      </c>
      <c r="V11" s="36">
        <f t="shared" si="1"/>
        <v>24.908546787911042</v>
      </c>
      <c r="W11" s="37">
        <f t="shared" si="2"/>
        <v>4397448192.7689114</v>
      </c>
      <c r="X11" s="38">
        <f t="shared" si="3"/>
        <v>5377271102.1183023</v>
      </c>
      <c r="Y11" s="39">
        <f t="shared" si="4"/>
        <v>9774719294.8872147</v>
      </c>
      <c r="Z11" s="40">
        <f t="shared" si="5"/>
        <v>1.005944110963845E-2</v>
      </c>
      <c r="AA11" s="41">
        <f t="shared" si="6"/>
        <v>1.2300848039840067E-2</v>
      </c>
      <c r="AB11" s="42">
        <f t="shared" si="7"/>
        <v>2.2360289149478518E-2</v>
      </c>
      <c r="AC11" s="59">
        <v>1218913.0390635841</v>
      </c>
      <c r="AD11" s="60">
        <v>1490506.6696930721</v>
      </c>
      <c r="AE11" s="60">
        <f t="shared" si="8"/>
        <v>2709419.7087566564</v>
      </c>
      <c r="AF11" s="45">
        <f t="shared" si="9"/>
        <v>0.44987974182225876</v>
      </c>
      <c r="AG11" s="46">
        <f t="shared" si="10"/>
        <v>0.55012025817774113</v>
      </c>
      <c r="AH11" s="47" t="s">
        <v>36</v>
      </c>
      <c r="AI11" s="48" t="s">
        <v>39</v>
      </c>
    </row>
    <row r="12" spans="1:35" ht="14.5" x14ac:dyDescent="0.35">
      <c r="A12" s="49" t="s">
        <v>49</v>
      </c>
      <c r="B12" s="50">
        <v>4.3506634761801202</v>
      </c>
      <c r="C12" s="50">
        <v>5.2504916248357496</v>
      </c>
      <c r="D12" s="50">
        <v>3.7485412466543599</v>
      </c>
      <c r="E12" s="51">
        <v>6.7524420030171397</v>
      </c>
      <c r="F12" s="52">
        <v>3.7195574178187498</v>
      </c>
      <c r="G12" s="50">
        <v>1.7600981300893801</v>
      </c>
      <c r="H12" s="53">
        <v>4.3506634761801202</v>
      </c>
      <c r="I12" s="54">
        <v>51712619</v>
      </c>
      <c r="J12" s="53">
        <v>2023</v>
      </c>
      <c r="K12" s="55">
        <v>1712792854202.3701</v>
      </c>
      <c r="L12" s="50">
        <v>2023</v>
      </c>
      <c r="M12" s="55">
        <v>33121.371288550799</v>
      </c>
      <c r="N12" s="51">
        <v>2023</v>
      </c>
      <c r="O12" s="52">
        <v>3.5974562502901</v>
      </c>
      <c r="P12" s="53">
        <v>2023</v>
      </c>
      <c r="Q12" s="56">
        <v>19.3</v>
      </c>
      <c r="R12" s="51">
        <v>2022</v>
      </c>
      <c r="S12" s="54">
        <f t="shared" ref="S12:U12" si="20">(AC12*40)* 48</f>
        <v>3693082667.448668</v>
      </c>
      <c r="T12" s="57">
        <f t="shared" si="20"/>
        <v>1747570252.8753514</v>
      </c>
      <c r="U12" s="58">
        <f t="shared" si="20"/>
        <v>5440652920.3240194</v>
      </c>
      <c r="V12" s="36">
        <f t="shared" si="1"/>
        <v>33.793884097716102</v>
      </c>
      <c r="W12" s="37">
        <f t="shared" si="2"/>
        <v>71276495481.759293</v>
      </c>
      <c r="X12" s="38">
        <f t="shared" si="3"/>
        <v>33728105880.494286</v>
      </c>
      <c r="Y12" s="39">
        <f t="shared" si="4"/>
        <v>105004601362.25357</v>
      </c>
      <c r="Z12" s="40">
        <f t="shared" si="5"/>
        <v>4.1614194797042175E-2</v>
      </c>
      <c r="AA12" s="41">
        <f t="shared" si="6"/>
        <v>1.9691876806784737E-2</v>
      </c>
      <c r="AB12" s="42">
        <f t="shared" si="7"/>
        <v>6.1306071603826909E-2</v>
      </c>
      <c r="AC12" s="59">
        <v>1923480.555962848</v>
      </c>
      <c r="AD12" s="60">
        <v>910192.84003924555</v>
      </c>
      <c r="AE12" s="60">
        <f t="shared" si="8"/>
        <v>2833673.3960020933</v>
      </c>
      <c r="AF12" s="45">
        <f t="shared" si="9"/>
        <v>0.67879402004359546</v>
      </c>
      <c r="AG12" s="46">
        <f t="shared" si="10"/>
        <v>0.32120597995640465</v>
      </c>
      <c r="AH12" s="47" t="s">
        <v>36</v>
      </c>
      <c r="AI12" s="48" t="s">
        <v>37</v>
      </c>
    </row>
    <row r="13" spans="1:35" ht="14.5" x14ac:dyDescent="0.35">
      <c r="A13" s="49" t="s">
        <v>50</v>
      </c>
      <c r="B13" s="50"/>
      <c r="C13" s="50">
        <v>2.30234334863996</v>
      </c>
      <c r="D13" s="50">
        <v>1.49831901734757</v>
      </c>
      <c r="E13" s="51">
        <v>3.1063676799323501</v>
      </c>
      <c r="F13" s="52">
        <v>1.5977993757461</v>
      </c>
      <c r="G13" s="50">
        <v>0.71759565603590003</v>
      </c>
      <c r="H13" s="53">
        <v>2.30234334863996</v>
      </c>
      <c r="I13" s="54">
        <v>71702435</v>
      </c>
      <c r="J13" s="53">
        <v>2023</v>
      </c>
      <c r="K13" s="55">
        <v>514968699239.005</v>
      </c>
      <c r="L13" s="50">
        <v>2023</v>
      </c>
      <c r="M13" s="55">
        <v>7182.0252581241502</v>
      </c>
      <c r="N13" s="51">
        <v>2023</v>
      </c>
      <c r="O13" s="52">
        <v>1.22802623546169</v>
      </c>
      <c r="P13" s="53">
        <v>2023</v>
      </c>
      <c r="Q13" s="56">
        <v>2.68</v>
      </c>
      <c r="R13" s="51">
        <v>2023</v>
      </c>
      <c r="S13" s="54">
        <f t="shared" ref="S13:U13" si="21">(AC13*40)* 48</f>
        <v>2199669232.9435258</v>
      </c>
      <c r="T13" s="57">
        <f t="shared" si="21"/>
        <v>987904432.95737243</v>
      </c>
      <c r="U13" s="58">
        <f t="shared" si="21"/>
        <v>3187573665.900898</v>
      </c>
      <c r="V13" s="36">
        <f t="shared" si="1"/>
        <v>13.777836595889282</v>
      </c>
      <c r="W13" s="37">
        <f t="shared" si="2"/>
        <v>5895113544.2886496</v>
      </c>
      <c r="X13" s="38">
        <f t="shared" si="3"/>
        <v>2647583880.3257585</v>
      </c>
      <c r="Y13" s="39">
        <f t="shared" si="4"/>
        <v>8542697424.6144085</v>
      </c>
      <c r="Z13" s="40">
        <f t="shared" si="5"/>
        <v>1.1447518175376783E-2</v>
      </c>
      <c r="AA13" s="41">
        <f t="shared" si="6"/>
        <v>5.1412520493735354E-3</v>
      </c>
      <c r="AB13" s="42">
        <f t="shared" si="7"/>
        <v>1.6588770224750318E-2</v>
      </c>
      <c r="AC13" s="59">
        <v>1145661.0588247529</v>
      </c>
      <c r="AD13" s="60">
        <v>514533.55883196479</v>
      </c>
      <c r="AE13" s="60">
        <f t="shared" si="8"/>
        <v>1660194.6176567178</v>
      </c>
      <c r="AF13" s="45">
        <f t="shared" si="9"/>
        <v>0.69007636010879048</v>
      </c>
      <c r="AG13" s="46">
        <f t="shared" si="10"/>
        <v>0.30992363989120947</v>
      </c>
      <c r="AH13" s="47" t="s">
        <v>36</v>
      </c>
      <c r="AI13" s="48" t="s">
        <v>44</v>
      </c>
    </row>
    <row r="14" spans="1:35" ht="14.5" x14ac:dyDescent="0.35">
      <c r="A14" s="49" t="s">
        <v>51</v>
      </c>
      <c r="B14" s="50"/>
      <c r="C14" s="50">
        <v>3.1483039854712902</v>
      </c>
      <c r="D14" s="50">
        <v>2.04241903938928</v>
      </c>
      <c r="E14" s="51">
        <v>4.2541889315533004</v>
      </c>
      <c r="F14" s="52">
        <v>1.9479152693205599</v>
      </c>
      <c r="G14" s="50">
        <v>1.2150121800463101</v>
      </c>
      <c r="H14" s="53">
        <v>3.1483039854712902</v>
      </c>
      <c r="I14" s="54">
        <v>100352192</v>
      </c>
      <c r="J14" s="53">
        <v>2023</v>
      </c>
      <c r="K14" s="55">
        <v>429716969043.57202</v>
      </c>
      <c r="L14" s="50">
        <v>2023</v>
      </c>
      <c r="M14" s="55">
        <v>4282.0885172450598</v>
      </c>
      <c r="N14" s="51">
        <v>2023</v>
      </c>
      <c r="O14" s="52">
        <v>3.2528928266766202</v>
      </c>
      <c r="P14" s="53">
        <v>2023</v>
      </c>
      <c r="Q14" s="56">
        <v>1.758</v>
      </c>
      <c r="R14" s="51">
        <v>2023</v>
      </c>
      <c r="S14" s="54">
        <f t="shared" ref="S14:U14" si="22">(AC14*40)* 48</f>
        <v>3753169288.4465008</v>
      </c>
      <c r="T14" s="57">
        <f t="shared" si="22"/>
        <v>2341039403.027441</v>
      </c>
      <c r="U14" s="58">
        <f t="shared" si="22"/>
        <v>6094208691.4739428</v>
      </c>
      <c r="V14" s="36">
        <f t="shared" si="1"/>
        <v>23.328233856889156</v>
      </c>
      <c r="W14" s="37">
        <f t="shared" si="2"/>
        <v>6598071609.0889482</v>
      </c>
      <c r="X14" s="38">
        <f t="shared" si="3"/>
        <v>4115547270.5222411</v>
      </c>
      <c r="Y14" s="39">
        <f t="shared" si="4"/>
        <v>10713618879.611189</v>
      </c>
      <c r="Z14" s="40">
        <f t="shared" si="5"/>
        <v>1.5354459061215065E-2</v>
      </c>
      <c r="AA14" s="41">
        <f t="shared" si="6"/>
        <v>9.577344082274156E-3</v>
      </c>
      <c r="AB14" s="42">
        <f t="shared" si="7"/>
        <v>2.4931803143489223E-2</v>
      </c>
      <c r="AC14" s="59">
        <v>1954775.671065886</v>
      </c>
      <c r="AD14" s="60">
        <v>1219291.355743459</v>
      </c>
      <c r="AE14" s="60">
        <f t="shared" si="8"/>
        <v>3174067.026809345</v>
      </c>
      <c r="AF14" s="45">
        <f t="shared" si="9"/>
        <v>0.61585834658031069</v>
      </c>
      <c r="AG14" s="46">
        <f t="shared" si="10"/>
        <v>0.38414165341968926</v>
      </c>
      <c r="AH14" s="47" t="s">
        <v>36</v>
      </c>
      <c r="AI14" s="48" t="s">
        <v>39</v>
      </c>
    </row>
    <row r="15" spans="1:35" ht="14.5" x14ac:dyDescent="0.35">
      <c r="A15" s="49" t="s">
        <v>52</v>
      </c>
      <c r="B15" s="50"/>
      <c r="C15" s="50">
        <v>2.6858807252675798</v>
      </c>
      <c r="D15" s="50">
        <v>1.8276414048004499</v>
      </c>
      <c r="E15" s="51">
        <v>3.5441200457347102</v>
      </c>
      <c r="F15" s="52">
        <v>1.6457918869547601</v>
      </c>
      <c r="G15" s="50">
        <v>0.991731742849709</v>
      </c>
      <c r="H15" s="53">
        <v>2.6858807252675798</v>
      </c>
      <c r="I15" s="54">
        <v>2745972</v>
      </c>
      <c r="J15" s="53">
        <v>2023</v>
      </c>
      <c r="K15" s="55">
        <v>23547179830.441299</v>
      </c>
      <c r="L15" s="50">
        <v>2023</v>
      </c>
      <c r="M15" s="55">
        <v>8575.1711344621308</v>
      </c>
      <c r="N15" s="51">
        <v>2023</v>
      </c>
      <c r="O15" s="52">
        <v>4.7597642193010703</v>
      </c>
      <c r="P15" s="53">
        <v>2023</v>
      </c>
      <c r="Q15" s="56">
        <v>2.7</v>
      </c>
      <c r="R15" s="51">
        <v>2018</v>
      </c>
      <c r="S15" s="54">
        <f t="shared" ref="S15:U15" si="23">(AC15*40)* 48</f>
        <v>86770530.036574781</v>
      </c>
      <c r="T15" s="57">
        <f t="shared" si="23"/>
        <v>52286737.869628817</v>
      </c>
      <c r="U15" s="58">
        <f t="shared" si="23"/>
        <v>139057267.9062036</v>
      </c>
      <c r="V15" s="36">
        <f t="shared" si="1"/>
        <v>19.041249462714411</v>
      </c>
      <c r="W15" s="37">
        <f t="shared" si="2"/>
        <v>234280431.09875193</v>
      </c>
      <c r="X15" s="38">
        <f t="shared" si="3"/>
        <v>141174192.24799782</v>
      </c>
      <c r="Y15" s="39">
        <f t="shared" si="4"/>
        <v>375454623.34674978</v>
      </c>
      <c r="Z15" s="40">
        <f t="shared" si="5"/>
        <v>9.9494051001334394E-3</v>
      </c>
      <c r="AA15" s="41">
        <f t="shared" si="6"/>
        <v>5.9953758057043754E-3</v>
      </c>
      <c r="AB15" s="42">
        <f t="shared" si="7"/>
        <v>1.5944780905837813E-2</v>
      </c>
      <c r="AC15" s="59">
        <v>45192.984394049367</v>
      </c>
      <c r="AD15" s="60">
        <v>27232.67597376501</v>
      </c>
      <c r="AE15" s="60">
        <f t="shared" si="8"/>
        <v>72425.660367814373</v>
      </c>
      <c r="AF15" s="45">
        <f t="shared" si="9"/>
        <v>0.62399133352097014</v>
      </c>
      <c r="AG15" s="46">
        <f t="shared" si="10"/>
        <v>0.37600866647902992</v>
      </c>
      <c r="AH15" s="47" t="s">
        <v>53</v>
      </c>
      <c r="AI15" s="48" t="s">
        <v>44</v>
      </c>
    </row>
    <row r="16" spans="1:35" ht="14.5" x14ac:dyDescent="0.35">
      <c r="A16" s="49" t="s">
        <v>54</v>
      </c>
      <c r="B16" s="50"/>
      <c r="C16" s="50">
        <v>3.08878247250462</v>
      </c>
      <c r="D16" s="50">
        <v>2.1706207700858902</v>
      </c>
      <c r="E16" s="51">
        <v>4.0069441749233503</v>
      </c>
      <c r="F16" s="52">
        <v>1.92791496077521</v>
      </c>
      <c r="G16" s="50">
        <v>1.17773013795779</v>
      </c>
      <c r="H16" s="53">
        <v>3.08878247250462</v>
      </c>
      <c r="I16" s="54">
        <v>2990900</v>
      </c>
      <c r="J16" s="53">
        <v>2023</v>
      </c>
      <c r="K16" s="55">
        <v>24085749592.335899</v>
      </c>
      <c r="L16" s="50">
        <v>2023</v>
      </c>
      <c r="M16" s="55">
        <v>8053.0106631234503</v>
      </c>
      <c r="N16" s="51">
        <v>2023</v>
      </c>
      <c r="O16" s="52">
        <v>1.9804187761555401</v>
      </c>
      <c r="P16" s="53">
        <v>2023</v>
      </c>
      <c r="Q16" s="56">
        <v>1.228</v>
      </c>
      <c r="R16" s="51">
        <v>2017</v>
      </c>
      <c r="S16" s="54">
        <f t="shared" ref="S16:U16" si="24">(AC16*40)* 48</f>
        <v>110711056.43870544</v>
      </c>
      <c r="T16" s="57">
        <f t="shared" si="24"/>
        <v>67631482.93666473</v>
      </c>
      <c r="U16" s="58">
        <f t="shared" si="24"/>
        <v>178342539.37537017</v>
      </c>
      <c r="V16" s="36">
        <f t="shared" si="1"/>
        <v>22.612418648789571</v>
      </c>
      <c r="W16" s="37">
        <f t="shared" si="2"/>
        <v>135953177.30673027</v>
      </c>
      <c r="X16" s="38">
        <f t="shared" si="3"/>
        <v>83051461.046224281</v>
      </c>
      <c r="Y16" s="39">
        <f t="shared" si="4"/>
        <v>219004638.35295457</v>
      </c>
      <c r="Z16" s="40">
        <f t="shared" si="5"/>
        <v>5.6445483162371936E-3</v>
      </c>
      <c r="AA16" s="41">
        <f t="shared" si="6"/>
        <v>3.4481576223249996E-3</v>
      </c>
      <c r="AB16" s="42">
        <f t="shared" si="7"/>
        <v>9.0927059385621928E-3</v>
      </c>
      <c r="AC16" s="59">
        <v>57662.008561825758</v>
      </c>
      <c r="AD16" s="60">
        <v>35224.73069617954</v>
      </c>
      <c r="AE16" s="60">
        <f t="shared" si="8"/>
        <v>92886.739258005298</v>
      </c>
      <c r="AF16" s="45">
        <f t="shared" si="9"/>
        <v>0.62077761607781112</v>
      </c>
      <c r="AG16" s="46">
        <f t="shared" si="10"/>
        <v>0.37922238392218888</v>
      </c>
      <c r="AH16" s="47" t="s">
        <v>53</v>
      </c>
      <c r="AI16" s="48" t="s">
        <v>44</v>
      </c>
    </row>
    <row r="17" spans="1:35" ht="14.5" x14ac:dyDescent="0.35">
      <c r="A17" s="49" t="s">
        <v>55</v>
      </c>
      <c r="B17" s="50">
        <v>10.5</v>
      </c>
      <c r="C17" s="50">
        <v>9.5417174451349709</v>
      </c>
      <c r="D17" s="50">
        <v>8.2671764519975106</v>
      </c>
      <c r="E17" s="51">
        <v>10.816258438272399</v>
      </c>
      <c r="F17" s="52">
        <v>5.1189273224693403</v>
      </c>
      <c r="G17" s="50">
        <v>4.5051170922407602</v>
      </c>
      <c r="H17" s="53">
        <v>10.5</v>
      </c>
      <c r="I17" s="54">
        <v>9131761</v>
      </c>
      <c r="J17" s="53">
        <v>2023</v>
      </c>
      <c r="K17" s="55">
        <v>511685203845.00098</v>
      </c>
      <c r="L17" s="50">
        <v>2023</v>
      </c>
      <c r="M17" s="55">
        <v>56033.573792064999</v>
      </c>
      <c r="N17" s="51">
        <v>2023</v>
      </c>
      <c r="O17" s="52">
        <v>7.8141341700283196</v>
      </c>
      <c r="P17" s="53">
        <v>2023</v>
      </c>
      <c r="Q17" s="56">
        <v>25.9</v>
      </c>
      <c r="R17" s="51">
        <v>2021</v>
      </c>
      <c r="S17" s="54">
        <f t="shared" ref="S17:U17" si="25">(AC17*40)* 48</f>
        <v>897500560.99507105</v>
      </c>
      <c r="T17" s="57">
        <f t="shared" si="25"/>
        <v>789881329.21646559</v>
      </c>
      <c r="U17" s="58">
        <f t="shared" si="25"/>
        <v>1687381890.2115364</v>
      </c>
      <c r="V17" s="36">
        <f t="shared" si="1"/>
        <v>86.49824817102261</v>
      </c>
      <c r="W17" s="37">
        <f t="shared" si="2"/>
        <v>23245264529.772339</v>
      </c>
      <c r="X17" s="38">
        <f t="shared" si="3"/>
        <v>20457926426.706459</v>
      </c>
      <c r="Y17" s="39">
        <f t="shared" si="4"/>
        <v>43703190956.478798</v>
      </c>
      <c r="Z17" s="40">
        <f t="shared" si="5"/>
        <v>4.5428838581022882E-2</v>
      </c>
      <c r="AA17" s="41">
        <f t="shared" si="6"/>
        <v>3.9981469608614179E-2</v>
      </c>
      <c r="AB17" s="42">
        <f t="shared" si="7"/>
        <v>8.541030818963706E-2</v>
      </c>
      <c r="AC17" s="59">
        <v>467448.20885159948</v>
      </c>
      <c r="AD17" s="60">
        <v>411396.5256335758</v>
      </c>
      <c r="AE17" s="60">
        <f t="shared" si="8"/>
        <v>878844.73448517523</v>
      </c>
      <c r="AF17" s="45">
        <f t="shared" si="9"/>
        <v>0.53188941175761761</v>
      </c>
      <c r="AG17" s="46">
        <f t="shared" si="10"/>
        <v>0.46811058824238244</v>
      </c>
      <c r="AH17" s="47" t="s">
        <v>53</v>
      </c>
      <c r="AI17" s="48" t="s">
        <v>37</v>
      </c>
    </row>
    <row r="18" spans="1:35" ht="14.5" x14ac:dyDescent="0.35">
      <c r="A18" s="49" t="s">
        <v>56</v>
      </c>
      <c r="B18" s="50">
        <v>14.7</v>
      </c>
      <c r="C18" s="50">
        <v>12.709521855296099</v>
      </c>
      <c r="D18" s="50">
        <v>9.4158846775538105</v>
      </c>
      <c r="E18" s="51">
        <v>16.003159033038301</v>
      </c>
      <c r="F18" s="52">
        <v>9.6396546991376493</v>
      </c>
      <c r="G18" s="50">
        <v>3.2367579937715698</v>
      </c>
      <c r="H18" s="53">
        <v>14.7</v>
      </c>
      <c r="I18" s="54">
        <v>11787423</v>
      </c>
      <c r="J18" s="53">
        <v>2023</v>
      </c>
      <c r="K18" s="55">
        <v>644782756682.75598</v>
      </c>
      <c r="L18" s="50">
        <v>2023</v>
      </c>
      <c r="M18" s="55">
        <v>54700.9093236712</v>
      </c>
      <c r="N18" s="51">
        <v>2023</v>
      </c>
      <c r="O18" s="52">
        <v>4.0490107761394096</v>
      </c>
      <c r="P18" s="53">
        <v>2023</v>
      </c>
      <c r="Q18" s="56">
        <v>23.5</v>
      </c>
      <c r="R18" s="51">
        <v>2018</v>
      </c>
      <c r="S18" s="54">
        <f t="shared" ref="S18:U18" si="26">(AC18*40)* 48</f>
        <v>2181632400.2433257</v>
      </c>
      <c r="T18" s="57">
        <f t="shared" si="26"/>
        <v>732538283.92736363</v>
      </c>
      <c r="U18" s="58">
        <f t="shared" si="26"/>
        <v>2914170684.1706891</v>
      </c>
      <c r="V18" s="36">
        <f t="shared" si="1"/>
        <v>62.145753480414136</v>
      </c>
      <c r="W18" s="37">
        <f t="shared" si="2"/>
        <v>51268361405.718155</v>
      </c>
      <c r="X18" s="38">
        <f t="shared" si="3"/>
        <v>17214649672.293045</v>
      </c>
      <c r="Y18" s="39">
        <f t="shared" si="4"/>
        <v>68483011078.0112</v>
      </c>
      <c r="Z18" s="40">
        <f t="shared" si="5"/>
        <v>7.9512612386660103E-2</v>
      </c>
      <c r="AA18" s="41">
        <f t="shared" si="6"/>
        <v>2.669837165134201E-2</v>
      </c>
      <c r="AB18" s="42">
        <f t="shared" si="7"/>
        <v>0.10621098403800211</v>
      </c>
      <c r="AC18" s="59">
        <v>1136266.875126732</v>
      </c>
      <c r="AD18" s="60">
        <v>381530.35621216858</v>
      </c>
      <c r="AE18" s="60">
        <f t="shared" si="8"/>
        <v>1517797.2313389005</v>
      </c>
      <c r="AF18" s="45">
        <f t="shared" si="9"/>
        <v>0.74862890224433498</v>
      </c>
      <c r="AG18" s="46">
        <f t="shared" si="10"/>
        <v>0.25137109775566507</v>
      </c>
      <c r="AH18" s="47" t="s">
        <v>53</v>
      </c>
      <c r="AI18" s="48" t="s">
        <v>37</v>
      </c>
    </row>
    <row r="19" spans="1:35" ht="14.5" x14ac:dyDescent="0.35">
      <c r="A19" s="49" t="s">
        <v>57</v>
      </c>
      <c r="B19" s="50"/>
      <c r="C19" s="50">
        <v>3.0949241800446901</v>
      </c>
      <c r="D19" s="50">
        <v>2.2179700403704499</v>
      </c>
      <c r="E19" s="51">
        <v>3.97187831971894</v>
      </c>
      <c r="F19" s="52">
        <v>2.23826255150516</v>
      </c>
      <c r="G19" s="50">
        <v>0.69392920083607601</v>
      </c>
      <c r="H19" s="53">
        <v>3.0949241800446901</v>
      </c>
      <c r="I19" s="54">
        <v>3185073</v>
      </c>
      <c r="J19" s="53">
        <v>2023</v>
      </c>
      <c r="K19" s="55">
        <v>27514782476.0406</v>
      </c>
      <c r="L19" s="50">
        <v>2023</v>
      </c>
      <c r="M19" s="55">
        <v>8638.6662020118692</v>
      </c>
      <c r="N19" s="51">
        <v>2023</v>
      </c>
      <c r="O19" s="52">
        <v>6.1059011284827998</v>
      </c>
      <c r="P19" s="53">
        <v>2023</v>
      </c>
      <c r="Q19" s="56">
        <v>4.8460000000000001</v>
      </c>
      <c r="R19" s="51">
        <v>2023</v>
      </c>
      <c r="S19" s="54">
        <f t="shared" ref="S19:U19" si="27">(AC19*40)* 48</f>
        <v>136877368.69843572</v>
      </c>
      <c r="T19" s="57">
        <f t="shared" si="27"/>
        <v>42436131.10069561</v>
      </c>
      <c r="U19" s="58">
        <f t="shared" si="27"/>
        <v>179313499.79913133</v>
      </c>
      <c r="V19" s="36">
        <f t="shared" si="1"/>
        <v>13.323440656052659</v>
      </c>
      <c r="W19" s="37">
        <f t="shared" si="2"/>
        <v>663307728.71261954</v>
      </c>
      <c r="X19" s="38">
        <f t="shared" si="3"/>
        <v>205645491.31397092</v>
      </c>
      <c r="Y19" s="39">
        <f t="shared" si="4"/>
        <v>868953220.02659047</v>
      </c>
      <c r="Z19" s="40">
        <f t="shared" si="5"/>
        <v>2.410732228358398E-2</v>
      </c>
      <c r="AA19" s="41">
        <f t="shared" si="6"/>
        <v>7.4740002576085592E-3</v>
      </c>
      <c r="AB19" s="42">
        <f t="shared" si="7"/>
        <v>3.1581322541192537E-2</v>
      </c>
      <c r="AC19" s="59">
        <v>71290.296197101939</v>
      </c>
      <c r="AD19" s="60">
        <v>22102.151614945629</v>
      </c>
      <c r="AE19" s="60">
        <f t="shared" si="8"/>
        <v>93392.447812047569</v>
      </c>
      <c r="AF19" s="45">
        <f t="shared" si="9"/>
        <v>0.76334112519005559</v>
      </c>
      <c r="AG19" s="46">
        <f t="shared" si="10"/>
        <v>0.23665887480994438</v>
      </c>
      <c r="AH19" s="47" t="s">
        <v>53</v>
      </c>
      <c r="AI19" s="48" t="s">
        <v>44</v>
      </c>
    </row>
    <row r="20" spans="1:35" ht="14.5" x14ac:dyDescent="0.35">
      <c r="A20" s="49" t="s">
        <v>58</v>
      </c>
      <c r="B20" s="50">
        <v>1.5</v>
      </c>
      <c r="C20" s="50">
        <v>2.5375946651097299</v>
      </c>
      <c r="D20" s="50">
        <v>1.04690731846414</v>
      </c>
      <c r="E20" s="51">
        <v>4.0282820117553202</v>
      </c>
      <c r="F20" s="52">
        <v>1.9194828520060501</v>
      </c>
      <c r="G20" s="50">
        <v>0.65290649508371501</v>
      </c>
      <c r="H20" s="53">
        <v>1.5</v>
      </c>
      <c r="I20" s="54">
        <v>6446596</v>
      </c>
      <c r="J20" s="53">
        <v>2023</v>
      </c>
      <c r="K20" s="55">
        <v>102407653020.606</v>
      </c>
      <c r="L20" s="50">
        <v>2023</v>
      </c>
      <c r="M20" s="55">
        <v>15885.5391311331</v>
      </c>
      <c r="N20" s="51">
        <v>2023</v>
      </c>
      <c r="O20" s="52">
        <v>9.4428414008856407</v>
      </c>
      <c r="P20" s="53">
        <v>2023</v>
      </c>
      <c r="Q20" s="56">
        <v>3.6</v>
      </c>
      <c r="R20" s="51">
        <v>2018</v>
      </c>
      <c r="S20" s="54">
        <f t="shared" ref="S20:U20" si="28">(AC20*40)* 48</f>
        <v>237583305.13556737</v>
      </c>
      <c r="T20" s="57">
        <f t="shared" si="28"/>
        <v>80813268.471949384</v>
      </c>
      <c r="U20" s="58">
        <f t="shared" si="28"/>
        <v>318396573.60751677</v>
      </c>
      <c r="V20" s="36">
        <f t="shared" si="1"/>
        <v>12.53580470560733</v>
      </c>
      <c r="W20" s="37">
        <f t="shared" si="2"/>
        <v>855299898.48804259</v>
      </c>
      <c r="X20" s="38">
        <f t="shared" si="3"/>
        <v>290927766.49901778</v>
      </c>
      <c r="Y20" s="39">
        <f t="shared" si="4"/>
        <v>1146227664.9870603</v>
      </c>
      <c r="Z20" s="40">
        <f t="shared" si="5"/>
        <v>8.3519138781155654E-3</v>
      </c>
      <c r="AA20" s="41">
        <f t="shared" si="6"/>
        <v>2.8408791522688114E-3</v>
      </c>
      <c r="AB20" s="42">
        <f t="shared" si="7"/>
        <v>1.1192793030384377E-2</v>
      </c>
      <c r="AC20" s="59">
        <v>123741.304758108</v>
      </c>
      <c r="AD20" s="60">
        <v>42090.243995806974</v>
      </c>
      <c r="AE20" s="60">
        <f t="shared" si="8"/>
        <v>165831.54875391498</v>
      </c>
      <c r="AF20" s="45">
        <f t="shared" si="9"/>
        <v>0.74618675208619911</v>
      </c>
      <c r="AG20" s="46">
        <f t="shared" si="10"/>
        <v>0.25381324791380083</v>
      </c>
      <c r="AH20" s="47" t="s">
        <v>53</v>
      </c>
      <c r="AI20" s="48" t="s">
        <v>44</v>
      </c>
    </row>
    <row r="21" spans="1:35" ht="15.75" customHeight="1" x14ac:dyDescent="0.35">
      <c r="A21" s="49" t="s">
        <v>59</v>
      </c>
      <c r="B21" s="50">
        <v>6.4</v>
      </c>
      <c r="C21" s="50">
        <v>4.7750643644058899</v>
      </c>
      <c r="D21" s="50">
        <v>2.3258750093095002</v>
      </c>
      <c r="E21" s="51">
        <v>7.22425371950228</v>
      </c>
      <c r="F21" s="52">
        <v>3.3050056373688901</v>
      </c>
      <c r="G21" s="50">
        <v>1.4784906317268001</v>
      </c>
      <c r="H21" s="53">
        <v>6.4</v>
      </c>
      <c r="I21" s="54">
        <v>3859686</v>
      </c>
      <c r="J21" s="53">
        <v>2023</v>
      </c>
      <c r="K21" s="55">
        <v>84393795502.442093</v>
      </c>
      <c r="L21" s="50">
        <v>2023</v>
      </c>
      <c r="M21" s="55">
        <v>21865.4562838641</v>
      </c>
      <c r="N21" s="51">
        <v>2023</v>
      </c>
      <c r="O21" s="52">
        <v>7.9412817758683003</v>
      </c>
      <c r="P21" s="53">
        <v>2023</v>
      </c>
      <c r="Q21" s="56">
        <v>7.5</v>
      </c>
      <c r="R21" s="51">
        <v>2018</v>
      </c>
      <c r="S21" s="54">
        <f t="shared" ref="S21:U21" si="29">(AC21*40)* 48</f>
        <v>244920652.57869655</v>
      </c>
      <c r="T21" s="57">
        <f t="shared" si="29"/>
        <v>109564984.17421606</v>
      </c>
      <c r="U21" s="58">
        <f t="shared" si="29"/>
        <v>354485636.75291264</v>
      </c>
      <c r="V21" s="36">
        <f t="shared" si="1"/>
        <v>28.387020129154564</v>
      </c>
      <c r="W21" s="37">
        <f t="shared" si="2"/>
        <v>1836904894.340224</v>
      </c>
      <c r="X21" s="38">
        <f t="shared" si="3"/>
        <v>821737381.30662048</v>
      </c>
      <c r="Y21" s="39">
        <f t="shared" si="4"/>
        <v>2658642275.6468444</v>
      </c>
      <c r="Z21" s="40">
        <f t="shared" si="5"/>
        <v>2.1765876074231898E-2</v>
      </c>
      <c r="AA21" s="41">
        <f t="shared" si="6"/>
        <v>9.7369406887600155E-3</v>
      </c>
      <c r="AB21" s="42">
        <f t="shared" si="7"/>
        <v>3.1502816762991916E-2</v>
      </c>
      <c r="AC21" s="59">
        <v>127562.8398847378</v>
      </c>
      <c r="AD21" s="60">
        <v>57065.095924070862</v>
      </c>
      <c r="AE21" s="60">
        <f t="shared" si="8"/>
        <v>184627.93580880866</v>
      </c>
      <c r="AF21" s="45">
        <f t="shared" si="9"/>
        <v>0.6909184101848781</v>
      </c>
      <c r="AG21" s="46">
        <f t="shared" si="10"/>
        <v>0.30908158981512196</v>
      </c>
      <c r="AH21" s="47" t="s">
        <v>53</v>
      </c>
      <c r="AI21" s="48" t="s">
        <v>37</v>
      </c>
    </row>
    <row r="22" spans="1:35" ht="15.75" customHeight="1" x14ac:dyDescent="0.35">
      <c r="A22" s="49" t="s">
        <v>60</v>
      </c>
      <c r="B22" s="50">
        <v>12.2</v>
      </c>
      <c r="C22" s="50">
        <v>11.033738245873</v>
      </c>
      <c r="D22" s="50">
        <v>8.8949630672833706</v>
      </c>
      <c r="E22" s="51">
        <v>13.172513424462499</v>
      </c>
      <c r="F22" s="52">
        <v>6.4956994742711496</v>
      </c>
      <c r="G22" s="50">
        <v>4.50617296215274</v>
      </c>
      <c r="H22" s="53">
        <v>12.2</v>
      </c>
      <c r="I22" s="54">
        <v>1344976</v>
      </c>
      <c r="J22" s="53">
        <v>2023</v>
      </c>
      <c r="K22" s="55">
        <v>33886930712.339401</v>
      </c>
      <c r="L22" s="50">
        <v>2023</v>
      </c>
      <c r="M22" s="55">
        <v>36551.41796875</v>
      </c>
      <c r="N22" s="51">
        <v>2023</v>
      </c>
      <c r="O22" s="52">
        <v>3.54134188751663</v>
      </c>
      <c r="P22" s="53">
        <v>2023</v>
      </c>
      <c r="Q22" s="56">
        <v>13</v>
      </c>
      <c r="R22" s="51">
        <v>2018</v>
      </c>
      <c r="S22" s="54">
        <f t="shared" ref="S22:U22" si="30">(AC22*40)* 48</f>
        <v>167741950.00526041</v>
      </c>
      <c r="T22" s="57">
        <f t="shared" si="30"/>
        <v>116365334.13013141</v>
      </c>
      <c r="U22" s="58">
        <f t="shared" si="30"/>
        <v>284107284.13539183</v>
      </c>
      <c r="V22" s="36">
        <f t="shared" si="1"/>
        <v>86.518520873332619</v>
      </c>
      <c r="W22" s="37">
        <f t="shared" si="2"/>
        <v>2180645350.0683851</v>
      </c>
      <c r="X22" s="38">
        <f t="shared" si="3"/>
        <v>1512749343.6917083</v>
      </c>
      <c r="Y22" s="39">
        <f t="shared" si="4"/>
        <v>3693394693.7600937</v>
      </c>
      <c r="Z22" s="40">
        <f t="shared" si="5"/>
        <v>6.4350630294007033E-2</v>
      </c>
      <c r="AA22" s="41">
        <f t="shared" si="6"/>
        <v>4.4641084686399886E-2</v>
      </c>
      <c r="AB22" s="42">
        <f t="shared" si="7"/>
        <v>0.10899171498040691</v>
      </c>
      <c r="AC22" s="59">
        <v>87365.598961073134</v>
      </c>
      <c r="AD22" s="60">
        <v>60606.944859443443</v>
      </c>
      <c r="AE22" s="60">
        <f t="shared" si="8"/>
        <v>147972.54382051658</v>
      </c>
      <c r="AF22" s="45">
        <f t="shared" si="9"/>
        <v>0.59041763225374644</v>
      </c>
      <c r="AG22" s="46">
        <f t="shared" si="10"/>
        <v>0.40958236774625356</v>
      </c>
      <c r="AH22" s="47" t="s">
        <v>53</v>
      </c>
      <c r="AI22" s="48" t="s">
        <v>37</v>
      </c>
    </row>
    <row r="23" spans="1:35" ht="15.75" customHeight="1" x14ac:dyDescent="0.35">
      <c r="A23" s="49" t="s">
        <v>61</v>
      </c>
      <c r="B23" s="50">
        <v>3.2</v>
      </c>
      <c r="C23" s="50">
        <v>3.8837590349111402</v>
      </c>
      <c r="D23" s="50">
        <v>2.71476494681044</v>
      </c>
      <c r="E23" s="51">
        <v>5.0527531230118301</v>
      </c>
      <c r="F23" s="52">
        <v>3.0090309727590898</v>
      </c>
      <c r="G23" s="50">
        <v>0.74451216164162803</v>
      </c>
      <c r="H23" s="53">
        <v>3.2</v>
      </c>
      <c r="I23" s="54">
        <v>10864042</v>
      </c>
      <c r="J23" s="53">
        <v>2023</v>
      </c>
      <c r="K23" s="55">
        <v>343207874553.73401</v>
      </c>
      <c r="L23" s="50">
        <v>2023</v>
      </c>
      <c r="M23" s="55">
        <v>31591.177073296902</v>
      </c>
      <c r="N23" s="51">
        <v>2023</v>
      </c>
      <c r="O23" s="52">
        <v>10.6612601372426</v>
      </c>
      <c r="P23" s="53">
        <v>2023</v>
      </c>
      <c r="Q23" s="56">
        <v>9.6</v>
      </c>
      <c r="R23" s="51">
        <v>2020</v>
      </c>
      <c r="S23" s="54">
        <f t="shared" ref="S23:U23" si="31">(AC23*40)* 48</f>
        <v>627652586.25322771</v>
      </c>
      <c r="T23" s="57">
        <f t="shared" si="31"/>
        <v>155297498.75684035</v>
      </c>
      <c r="U23" s="58">
        <f t="shared" si="31"/>
        <v>782950085.01006794</v>
      </c>
      <c r="V23" s="36">
        <f t="shared" si="1"/>
        <v>14.294633503519256</v>
      </c>
      <c r="W23" s="37">
        <f t="shared" si="2"/>
        <v>6025464828.0309858</v>
      </c>
      <c r="X23" s="38">
        <f t="shared" si="3"/>
        <v>1490855988.0656674</v>
      </c>
      <c r="Y23" s="39">
        <f t="shared" si="4"/>
        <v>7516320816.096653</v>
      </c>
      <c r="Z23" s="40">
        <f t="shared" si="5"/>
        <v>1.7556312878501904E-2</v>
      </c>
      <c r="AA23" s="41">
        <f t="shared" si="6"/>
        <v>4.343886310895973E-3</v>
      </c>
      <c r="AB23" s="42">
        <f t="shared" si="7"/>
        <v>2.1900199189397878E-2</v>
      </c>
      <c r="AC23" s="59">
        <v>326902.3886735561</v>
      </c>
      <c r="AD23" s="60">
        <v>80884.113935854359</v>
      </c>
      <c r="AE23" s="60">
        <f t="shared" si="8"/>
        <v>407786.50260941044</v>
      </c>
      <c r="AF23" s="45">
        <f t="shared" si="9"/>
        <v>0.80165083096600809</v>
      </c>
      <c r="AG23" s="46">
        <f t="shared" si="10"/>
        <v>0.19834916903399197</v>
      </c>
      <c r="AH23" s="47" t="s">
        <v>53</v>
      </c>
      <c r="AI23" s="48" t="s">
        <v>37</v>
      </c>
    </row>
    <row r="24" spans="1:35" ht="15.75" customHeight="1" x14ac:dyDescent="0.35">
      <c r="A24" s="49" t="s">
        <v>62</v>
      </c>
      <c r="B24" s="50">
        <v>10.7</v>
      </c>
      <c r="C24" s="50">
        <v>11.0936618967716</v>
      </c>
      <c r="D24" s="50">
        <v>10.1160736362256</v>
      </c>
      <c r="E24" s="51">
        <v>12.0712501573176</v>
      </c>
      <c r="F24" s="52">
        <v>6.9632589637101896</v>
      </c>
      <c r="G24" s="50">
        <v>4.1584292691084803</v>
      </c>
      <c r="H24" s="53">
        <v>10.7</v>
      </c>
      <c r="I24" s="54">
        <v>5946952</v>
      </c>
      <c r="J24" s="53">
        <v>2023</v>
      </c>
      <c r="K24" s="55">
        <v>407091920305.40399</v>
      </c>
      <c r="L24" s="50">
        <v>2023</v>
      </c>
      <c r="M24" s="55">
        <v>68453.876928114507</v>
      </c>
      <c r="N24" s="51">
        <v>2023</v>
      </c>
      <c r="O24" s="52">
        <v>3.3051781123760602</v>
      </c>
      <c r="P24" s="53">
        <v>2023</v>
      </c>
      <c r="Q24" s="56">
        <v>36.700000000000003</v>
      </c>
      <c r="R24" s="51">
        <v>2014</v>
      </c>
      <c r="S24" s="54">
        <f t="shared" ref="S24:U24" si="32">(AC24*40)* 48</f>
        <v>795075202.95848143</v>
      </c>
      <c r="T24" s="57">
        <f t="shared" si="32"/>
        <v>474815601.76863766</v>
      </c>
      <c r="U24" s="58">
        <f t="shared" si="32"/>
        <v>1269890804.727119</v>
      </c>
      <c r="V24" s="36">
        <f t="shared" si="1"/>
        <v>79.841841966882811</v>
      </c>
      <c r="W24" s="37">
        <f t="shared" si="2"/>
        <v>29179259948.576271</v>
      </c>
      <c r="X24" s="38">
        <f t="shared" si="3"/>
        <v>17425732584.909004</v>
      </c>
      <c r="Y24" s="39">
        <f t="shared" si="4"/>
        <v>46604992533.485275</v>
      </c>
      <c r="Z24" s="40">
        <f t="shared" si="5"/>
        <v>7.1677325176794787E-2</v>
      </c>
      <c r="AA24" s="41">
        <f t="shared" si="6"/>
        <v>4.2805400244338092E-2</v>
      </c>
      <c r="AB24" s="42">
        <f t="shared" si="7"/>
        <v>0.11448272542113289</v>
      </c>
      <c r="AC24" s="59">
        <v>414101.66820754239</v>
      </c>
      <c r="AD24" s="60">
        <v>247299.79258783211</v>
      </c>
      <c r="AE24" s="60">
        <f t="shared" si="8"/>
        <v>661401.46079537447</v>
      </c>
      <c r="AF24" s="45">
        <f t="shared" si="9"/>
        <v>0.62609729907394007</v>
      </c>
      <c r="AG24" s="46">
        <f t="shared" si="10"/>
        <v>0.37390270092606004</v>
      </c>
      <c r="AH24" s="47" t="s">
        <v>53</v>
      </c>
      <c r="AI24" s="61" t="s">
        <v>37</v>
      </c>
    </row>
    <row r="25" spans="1:35" ht="15.75" customHeight="1" x14ac:dyDescent="0.35">
      <c r="A25" s="49" t="s">
        <v>63</v>
      </c>
      <c r="B25" s="50">
        <v>5.5</v>
      </c>
      <c r="C25" s="50">
        <v>5.3905327855966698</v>
      </c>
      <c r="D25" s="50">
        <v>4.5661199308821097</v>
      </c>
      <c r="E25" s="51">
        <v>6.2149456403112202</v>
      </c>
      <c r="F25" s="52">
        <v>4.0340440461421103</v>
      </c>
      <c r="G25" s="50">
        <v>1.4030061094533199</v>
      </c>
      <c r="H25" s="53">
        <v>5.5</v>
      </c>
      <c r="I25" s="54">
        <v>1370286</v>
      </c>
      <c r="J25" s="53">
        <v>2023</v>
      </c>
      <c r="K25" s="55">
        <v>41291245222.194801</v>
      </c>
      <c r="L25" s="50">
        <v>2023</v>
      </c>
      <c r="M25" s="55">
        <v>30133.304450454001</v>
      </c>
      <c r="N25" s="51">
        <v>2023</v>
      </c>
      <c r="O25" s="52">
        <v>9.1592250798398194</v>
      </c>
      <c r="P25" s="53">
        <v>2023</v>
      </c>
      <c r="Q25" s="56">
        <v>8.3000000000000007</v>
      </c>
      <c r="R25" s="51">
        <v>2018</v>
      </c>
      <c r="S25" s="54">
        <f t="shared" ref="S25:U25" si="33">(AC25*40)* 48</f>
        <v>106133646.33238824</v>
      </c>
      <c r="T25" s="57">
        <f t="shared" si="33"/>
        <v>36912376.890208356</v>
      </c>
      <c r="U25" s="58">
        <f t="shared" si="33"/>
        <v>143046023.22259662</v>
      </c>
      <c r="V25" s="36">
        <f t="shared" si="1"/>
        <v>26.937717301503742</v>
      </c>
      <c r="W25" s="37">
        <f t="shared" si="2"/>
        <v>880909264.55882239</v>
      </c>
      <c r="X25" s="38">
        <f t="shared" si="3"/>
        <v>306372728.18872941</v>
      </c>
      <c r="Y25" s="39">
        <f t="shared" si="4"/>
        <v>1187281992.7475519</v>
      </c>
      <c r="Z25" s="40">
        <f t="shared" si="5"/>
        <v>2.1334044537007994E-2</v>
      </c>
      <c r="AA25" s="41">
        <f t="shared" si="6"/>
        <v>7.4197987137488517E-3</v>
      </c>
      <c r="AB25" s="42">
        <f t="shared" si="7"/>
        <v>2.8753843250756847E-2</v>
      </c>
      <c r="AC25" s="59">
        <v>55277.940798118878</v>
      </c>
      <c r="AD25" s="60">
        <v>19225.196296983519</v>
      </c>
      <c r="AE25" s="60">
        <f t="shared" si="8"/>
        <v>74503.1370951024</v>
      </c>
      <c r="AF25" s="45">
        <f t="shared" si="9"/>
        <v>0.74195453981430637</v>
      </c>
      <c r="AG25" s="46">
        <f t="shared" si="10"/>
        <v>0.25804546018569358</v>
      </c>
      <c r="AH25" s="47" t="s">
        <v>53</v>
      </c>
      <c r="AI25" s="48" t="s">
        <v>37</v>
      </c>
    </row>
    <row r="26" spans="1:35" ht="15.75" customHeight="1" x14ac:dyDescent="0.35">
      <c r="A26" s="49" t="s">
        <v>64</v>
      </c>
      <c r="B26" s="50">
        <v>8.5</v>
      </c>
      <c r="C26" s="50">
        <v>8.9092777969224297</v>
      </c>
      <c r="D26" s="50">
        <v>7.9848997479168702</v>
      </c>
      <c r="E26" s="51">
        <v>9.8336558459279892</v>
      </c>
      <c r="F26" s="52">
        <v>5.9549349313017199</v>
      </c>
      <c r="G26" s="50">
        <v>3.5962259798697001</v>
      </c>
      <c r="H26" s="53">
        <v>8.5</v>
      </c>
      <c r="I26" s="54">
        <v>5583911</v>
      </c>
      <c r="J26" s="53">
        <v>2023</v>
      </c>
      <c r="K26" s="55">
        <v>295532341254.90698</v>
      </c>
      <c r="L26" s="50">
        <v>2023</v>
      </c>
      <c r="M26" s="55">
        <v>52925.689763842398</v>
      </c>
      <c r="N26" s="51">
        <v>2023</v>
      </c>
      <c r="O26" s="52">
        <v>6.2506432215476302</v>
      </c>
      <c r="P26" s="53">
        <v>2023</v>
      </c>
      <c r="Q26" s="56">
        <v>22.7</v>
      </c>
      <c r="R26" s="51">
        <v>2022</v>
      </c>
      <c r="S26" s="54">
        <f t="shared" ref="S26:U26" si="34">(AC26*40)* 48</f>
        <v>638435072.00985444</v>
      </c>
      <c r="T26" s="57">
        <f t="shared" si="34"/>
        <v>385555311.50361979</v>
      </c>
      <c r="U26" s="58">
        <f t="shared" si="34"/>
        <v>1023990383.5134742</v>
      </c>
      <c r="V26" s="36">
        <f t="shared" si="1"/>
        <v>69.04753881349825</v>
      </c>
      <c r="W26" s="37">
        <f t="shared" si="2"/>
        <v>14492476134.623695</v>
      </c>
      <c r="X26" s="38">
        <f t="shared" si="3"/>
        <v>8752105571.1321697</v>
      </c>
      <c r="Y26" s="39">
        <f t="shared" si="4"/>
        <v>23244581705.755867</v>
      </c>
      <c r="Z26" s="40">
        <f t="shared" si="5"/>
        <v>4.9038545402797146E-2</v>
      </c>
      <c r="AA26" s="41">
        <f t="shared" si="6"/>
        <v>2.9614713347339446E-2</v>
      </c>
      <c r="AB26" s="42">
        <f t="shared" si="7"/>
        <v>7.8653258750136595E-2</v>
      </c>
      <c r="AC26" s="59">
        <v>332518.26667179918</v>
      </c>
      <c r="AD26" s="60">
        <v>200810.05807480199</v>
      </c>
      <c r="AE26" s="60">
        <f t="shared" si="8"/>
        <v>533328.32474660117</v>
      </c>
      <c r="AF26" s="45">
        <f t="shared" si="9"/>
        <v>0.62347760515023776</v>
      </c>
      <c r="AG26" s="46">
        <f t="shared" si="10"/>
        <v>0.37652239484976224</v>
      </c>
      <c r="AH26" s="47" t="s">
        <v>53</v>
      </c>
      <c r="AI26" s="48" t="s">
        <v>37</v>
      </c>
    </row>
    <row r="27" spans="1:35" ht="15.75" customHeight="1" x14ac:dyDescent="0.35">
      <c r="A27" s="49" t="s">
        <v>65</v>
      </c>
      <c r="B27" s="50">
        <v>11</v>
      </c>
      <c r="C27" s="50">
        <v>10.471109642563601</v>
      </c>
      <c r="D27" s="50">
        <v>9.6017303020945004</v>
      </c>
      <c r="E27" s="51">
        <v>11.340488983032699</v>
      </c>
      <c r="F27" s="52">
        <v>7.1099802393626303</v>
      </c>
      <c r="G27" s="50">
        <v>3.5550129534856301</v>
      </c>
      <c r="H27" s="53">
        <v>11</v>
      </c>
      <c r="I27" s="54">
        <v>68287487</v>
      </c>
      <c r="J27" s="53">
        <v>2023</v>
      </c>
      <c r="K27" s="55">
        <v>3051831611384.7598</v>
      </c>
      <c r="L27" s="50">
        <v>2023</v>
      </c>
      <c r="M27" s="55">
        <v>44690.934539511698</v>
      </c>
      <c r="N27" s="51">
        <v>2023</v>
      </c>
      <c r="O27" s="52">
        <v>4.8783572650844098</v>
      </c>
      <c r="P27" s="53">
        <v>2023</v>
      </c>
      <c r="Q27" s="56">
        <v>16.988</v>
      </c>
      <c r="R27" s="51">
        <v>2020</v>
      </c>
      <c r="S27" s="54">
        <f t="shared" ref="S27:U27" si="35">(AC27*40)* 48</f>
        <v>9322035516.7820625</v>
      </c>
      <c r="T27" s="57">
        <f t="shared" si="35"/>
        <v>4661047696.2428436</v>
      </c>
      <c r="U27" s="58">
        <f t="shared" si="35"/>
        <v>13983083213.02491</v>
      </c>
      <c r="V27" s="36">
        <f t="shared" si="1"/>
        <v>68.256248706924055</v>
      </c>
      <c r="W27" s="37">
        <f t="shared" si="2"/>
        <v>158362739359.09369</v>
      </c>
      <c r="X27" s="38">
        <f t="shared" si="3"/>
        <v>79181878263.773422</v>
      </c>
      <c r="Y27" s="39">
        <f t="shared" si="4"/>
        <v>237544617622.86713</v>
      </c>
      <c r="Z27" s="40">
        <f t="shared" si="5"/>
        <v>5.1891047582155771E-2</v>
      </c>
      <c r="AA27" s="41">
        <f t="shared" si="6"/>
        <v>2.5945690439927279E-2</v>
      </c>
      <c r="AB27" s="42">
        <f t="shared" si="7"/>
        <v>7.7836738022083046E-2</v>
      </c>
      <c r="AC27" s="59">
        <v>4855226.8316573249</v>
      </c>
      <c r="AD27" s="60">
        <v>2427629.0084598148</v>
      </c>
      <c r="AE27" s="60">
        <f t="shared" si="8"/>
        <v>7282855.8401171397</v>
      </c>
      <c r="AF27" s="45">
        <f t="shared" si="9"/>
        <v>0.6666652393299648</v>
      </c>
      <c r="AG27" s="46">
        <f t="shared" si="10"/>
        <v>0.3333347606700352</v>
      </c>
      <c r="AH27" s="47" t="s">
        <v>53</v>
      </c>
      <c r="AI27" s="48" t="s">
        <v>37</v>
      </c>
    </row>
    <row r="28" spans="1:35" ht="15.75" customHeight="1" x14ac:dyDescent="0.35">
      <c r="A28" s="49" t="s">
        <v>66</v>
      </c>
      <c r="B28" s="50"/>
      <c r="C28" s="50">
        <v>3.29111830241491</v>
      </c>
      <c r="D28" s="50">
        <v>2.2834546651788101</v>
      </c>
      <c r="E28" s="51">
        <v>4.2987819396510201</v>
      </c>
      <c r="F28" s="52">
        <v>2.2703648069695399</v>
      </c>
      <c r="G28" s="50">
        <v>1.19535128161031</v>
      </c>
      <c r="H28" s="53">
        <v>3.29111830241491</v>
      </c>
      <c r="I28" s="54">
        <v>3715483</v>
      </c>
      <c r="J28" s="53">
        <v>2023</v>
      </c>
      <c r="K28" s="55">
        <v>30777833585.444099</v>
      </c>
      <c r="L28" s="50">
        <v>2023</v>
      </c>
      <c r="M28" s="55">
        <v>8283.6696024296398</v>
      </c>
      <c r="N28" s="51">
        <v>2023</v>
      </c>
      <c r="O28" s="52">
        <v>2.4877605657871502</v>
      </c>
      <c r="P28" s="53">
        <v>2023</v>
      </c>
      <c r="Q28" s="56">
        <v>1.5979749999999999</v>
      </c>
      <c r="R28" s="51">
        <v>2022</v>
      </c>
      <c r="S28" s="54">
        <f t="shared" ref="S28:U28" si="36">(AC28*40)* 48</f>
        <v>161961635.40659726</v>
      </c>
      <c r="T28" s="57">
        <f t="shared" si="36"/>
        <v>85273101.424345329</v>
      </c>
      <c r="U28" s="58">
        <f t="shared" si="36"/>
        <v>247234736.83094257</v>
      </c>
      <c r="V28" s="36">
        <f t="shared" si="1"/>
        <v>22.950744606917951</v>
      </c>
      <c r="W28" s="37">
        <f t="shared" si="2"/>
        <v>258810644.33885723</v>
      </c>
      <c r="X28" s="38">
        <f t="shared" si="3"/>
        <v>136264284.24856821</v>
      </c>
      <c r="Y28" s="39">
        <f t="shared" si="4"/>
        <v>395074928.58742547</v>
      </c>
      <c r="Z28" s="40">
        <f t="shared" si="5"/>
        <v>8.4089948573007334E-3</v>
      </c>
      <c r="AA28" s="41">
        <f t="shared" si="6"/>
        <v>4.4273513881435854E-3</v>
      </c>
      <c r="AB28" s="42">
        <f t="shared" si="7"/>
        <v>1.283634624544432E-2</v>
      </c>
      <c r="AC28" s="59">
        <v>84355.018440936066</v>
      </c>
      <c r="AD28" s="60">
        <v>44413.073658513189</v>
      </c>
      <c r="AE28" s="60">
        <f t="shared" si="8"/>
        <v>128768.09209944925</v>
      </c>
      <c r="AF28" s="45">
        <f t="shared" si="9"/>
        <v>0.65509255488376428</v>
      </c>
      <c r="AG28" s="46">
        <f t="shared" si="10"/>
        <v>0.34490744511623583</v>
      </c>
      <c r="AH28" s="47" t="s">
        <v>53</v>
      </c>
      <c r="AI28" s="48" t="s">
        <v>44</v>
      </c>
    </row>
    <row r="29" spans="1:35" ht="15.75" customHeight="1" x14ac:dyDescent="0.35">
      <c r="A29" s="49" t="s">
        <v>67</v>
      </c>
      <c r="B29" s="50">
        <v>10.4</v>
      </c>
      <c r="C29" s="50">
        <v>9.4139389555788</v>
      </c>
      <c r="D29" s="50">
        <v>8.0167963768411798</v>
      </c>
      <c r="E29" s="51">
        <v>10.811081534316401</v>
      </c>
      <c r="F29" s="52">
        <v>6.5692730316424202</v>
      </c>
      <c r="G29" s="50">
        <v>3.1082022986041302</v>
      </c>
      <c r="H29" s="53">
        <v>10.4</v>
      </c>
      <c r="I29" s="54">
        <v>83280000</v>
      </c>
      <c r="J29" s="53">
        <v>2023</v>
      </c>
      <c r="K29" s="55">
        <v>4525703903627.5303</v>
      </c>
      <c r="L29" s="50">
        <v>2023</v>
      </c>
      <c r="M29" s="55">
        <v>54343.226508495798</v>
      </c>
      <c r="N29" s="51">
        <v>2023</v>
      </c>
      <c r="O29" s="52">
        <v>5.9464366772582302</v>
      </c>
      <c r="P29" s="53">
        <v>2023</v>
      </c>
      <c r="Q29" s="56">
        <v>23.2</v>
      </c>
      <c r="R29" s="51">
        <v>2018</v>
      </c>
      <c r="S29" s="54">
        <f t="shared" ref="S29:U29" si="37">(AC29*40)* 48</f>
        <v>10504109915.04347</v>
      </c>
      <c r="T29" s="57">
        <f t="shared" si="37"/>
        <v>4969940878.6128387</v>
      </c>
      <c r="U29" s="58">
        <f t="shared" si="37"/>
        <v>15474050793.656307</v>
      </c>
      <c r="V29" s="36">
        <f t="shared" si="1"/>
        <v>59.677484133199314</v>
      </c>
      <c r="W29" s="37">
        <f t="shared" si="2"/>
        <v>243695350029.00851</v>
      </c>
      <c r="X29" s="38">
        <f t="shared" si="3"/>
        <v>115302628383.81786</v>
      </c>
      <c r="Y29" s="39">
        <f t="shared" si="4"/>
        <v>358997978412.82635</v>
      </c>
      <c r="Z29" s="40">
        <f t="shared" si="5"/>
        <v>5.3846949605712624E-2</v>
      </c>
      <c r="AA29" s="41">
        <f t="shared" si="6"/>
        <v>2.5477280626202314E-2</v>
      </c>
      <c r="AB29" s="42">
        <f t="shared" si="7"/>
        <v>7.9324230231914941E-2</v>
      </c>
      <c r="AC29" s="59">
        <v>5470890.5807518074</v>
      </c>
      <c r="AD29" s="60">
        <v>2588510.87427752</v>
      </c>
      <c r="AE29" s="60">
        <f t="shared" si="8"/>
        <v>8059401.4550293274</v>
      </c>
      <c r="AF29" s="45">
        <f t="shared" si="9"/>
        <v>0.67882095355081173</v>
      </c>
      <c r="AG29" s="46">
        <f t="shared" si="10"/>
        <v>0.32117904644918827</v>
      </c>
      <c r="AH29" s="47" t="s">
        <v>53</v>
      </c>
      <c r="AI29" s="48" t="s">
        <v>37</v>
      </c>
    </row>
    <row r="30" spans="1:35" ht="15.75" customHeight="1" x14ac:dyDescent="0.35">
      <c r="A30" s="49" t="s">
        <v>68</v>
      </c>
      <c r="B30" s="50">
        <v>12.6</v>
      </c>
      <c r="C30" s="50">
        <v>9.9374538030218993</v>
      </c>
      <c r="D30" s="50">
        <v>5.1462326572860899</v>
      </c>
      <c r="E30" s="51">
        <v>14.7286749487577</v>
      </c>
      <c r="F30" s="52">
        <v>5.98553547514393</v>
      </c>
      <c r="G30" s="50">
        <v>3.9857609769210498</v>
      </c>
      <c r="H30" s="53">
        <v>12.6</v>
      </c>
      <c r="I30" s="54">
        <v>10405588</v>
      </c>
      <c r="J30" s="53">
        <v>2023</v>
      </c>
      <c r="K30" s="55">
        <v>243498333237.802</v>
      </c>
      <c r="L30" s="50">
        <v>2023</v>
      </c>
      <c r="M30" s="55">
        <v>23400.7278817691</v>
      </c>
      <c r="N30" s="51">
        <v>2023</v>
      </c>
      <c r="O30" s="52">
        <v>3.4648012851340502</v>
      </c>
      <c r="P30" s="53">
        <v>2023</v>
      </c>
      <c r="Q30" s="56">
        <v>6.8150000000000004</v>
      </c>
      <c r="R30" s="51">
        <v>2020</v>
      </c>
      <c r="S30" s="54">
        <f t="shared" ref="S30:U30" si="38">(AC30*40)* 48</f>
        <v>1195833909.3836539</v>
      </c>
      <c r="T30" s="57">
        <f t="shared" si="38"/>
        <v>796304382.57250464</v>
      </c>
      <c r="U30" s="58">
        <f t="shared" si="38"/>
        <v>1992138291.9561586</v>
      </c>
      <c r="V30" s="36">
        <f t="shared" si="1"/>
        <v>76.526610756884153</v>
      </c>
      <c r="W30" s="37">
        <f t="shared" si="2"/>
        <v>8149608092.4496021</v>
      </c>
      <c r="X30" s="38">
        <f t="shared" si="3"/>
        <v>5426814367.2316198</v>
      </c>
      <c r="Y30" s="39">
        <f t="shared" si="4"/>
        <v>13576422459.681221</v>
      </c>
      <c r="Z30" s="40">
        <f t="shared" si="5"/>
        <v>3.3468845490990051E-2</v>
      </c>
      <c r="AA30" s="41">
        <f t="shared" si="6"/>
        <v>2.2286864534435062E-2</v>
      </c>
      <c r="AB30" s="42">
        <f t="shared" si="7"/>
        <v>5.5755710025425113E-2</v>
      </c>
      <c r="AC30" s="59">
        <v>622830.16113731975</v>
      </c>
      <c r="AD30" s="60">
        <v>414741.86592317949</v>
      </c>
      <c r="AE30" s="60">
        <f t="shared" si="8"/>
        <v>1037572.0270604992</v>
      </c>
      <c r="AF30" s="45">
        <f t="shared" si="9"/>
        <v>0.60027655419916548</v>
      </c>
      <c r="AG30" s="46">
        <f t="shared" si="10"/>
        <v>0.39972344580083458</v>
      </c>
      <c r="AH30" s="47" t="s">
        <v>53</v>
      </c>
      <c r="AI30" s="48" t="s">
        <v>37</v>
      </c>
    </row>
    <row r="31" spans="1:35" ht="15.75" customHeight="1" x14ac:dyDescent="0.35">
      <c r="A31" s="49" t="s">
        <v>69</v>
      </c>
      <c r="B31" s="50">
        <v>3.7</v>
      </c>
      <c r="C31" s="50">
        <v>3.7830738698045598</v>
      </c>
      <c r="D31" s="50">
        <v>2.9062933796557702</v>
      </c>
      <c r="E31" s="51">
        <v>4.65985435995335</v>
      </c>
      <c r="F31" s="52">
        <v>2.9939583796712199</v>
      </c>
      <c r="G31" s="50">
        <v>0.70877650814047799</v>
      </c>
      <c r="H31" s="53">
        <v>3.7</v>
      </c>
      <c r="I31" s="54">
        <v>9592186</v>
      </c>
      <c r="J31" s="53">
        <v>2023</v>
      </c>
      <c r="K31" s="55">
        <v>212388906458.724</v>
      </c>
      <c r="L31" s="50">
        <v>2023</v>
      </c>
      <c r="M31" s="55">
        <v>22141.866979927599</v>
      </c>
      <c r="N31" s="51">
        <v>2023</v>
      </c>
      <c r="O31" s="52">
        <v>17.124965967873699</v>
      </c>
      <c r="P31" s="53">
        <v>2023</v>
      </c>
      <c r="Q31" s="56">
        <v>8.6</v>
      </c>
      <c r="R31" s="51">
        <v>2022</v>
      </c>
      <c r="S31" s="54">
        <f t="shared" ref="S31:U31" si="39">(AC31*40)* 48</f>
        <v>551397228.55804729</v>
      </c>
      <c r="T31" s="57">
        <f t="shared" si="39"/>
        <v>130535349.09146839</v>
      </c>
      <c r="U31" s="58">
        <f t="shared" si="39"/>
        <v>681932577.64951563</v>
      </c>
      <c r="V31" s="36">
        <f t="shared" si="1"/>
        <v>13.608508956297177</v>
      </c>
      <c r="W31" s="37">
        <f t="shared" si="2"/>
        <v>4742016165.5992069</v>
      </c>
      <c r="X31" s="38">
        <f t="shared" si="3"/>
        <v>1122604002.1866281</v>
      </c>
      <c r="Y31" s="39">
        <f t="shared" si="4"/>
        <v>5864620167.7858353</v>
      </c>
      <c r="Z31" s="40">
        <f t="shared" si="5"/>
        <v>2.2327042615668716E-2</v>
      </c>
      <c r="AA31" s="41">
        <f t="shared" si="6"/>
        <v>5.2856056415771261E-3</v>
      </c>
      <c r="AB31" s="42">
        <f t="shared" si="7"/>
        <v>2.7612648257245843E-2</v>
      </c>
      <c r="AC31" s="59">
        <v>287186.05654064962</v>
      </c>
      <c r="AD31" s="60">
        <v>67987.160985139795</v>
      </c>
      <c r="AE31" s="60">
        <f t="shared" si="8"/>
        <v>355173.2175257894</v>
      </c>
      <c r="AF31" s="45">
        <f t="shared" si="9"/>
        <v>0.80858027117373177</v>
      </c>
      <c r="AG31" s="46">
        <f t="shared" si="10"/>
        <v>0.19141972882626826</v>
      </c>
      <c r="AH31" s="47" t="s">
        <v>53</v>
      </c>
      <c r="AI31" s="48" t="s">
        <v>37</v>
      </c>
    </row>
    <row r="32" spans="1:35" ht="15.75" customHeight="1" x14ac:dyDescent="0.35">
      <c r="A32" s="49" t="s">
        <v>70</v>
      </c>
      <c r="B32" s="50">
        <v>13.1</v>
      </c>
      <c r="C32" s="50">
        <v>11.661462813445</v>
      </c>
      <c r="D32" s="50">
        <v>9.1429775327392893</v>
      </c>
      <c r="E32" s="51">
        <v>14.179948094150699</v>
      </c>
      <c r="F32" s="52">
        <v>8.7567006763958997</v>
      </c>
      <c r="G32" s="50">
        <v>3.18993618882824</v>
      </c>
      <c r="H32" s="53">
        <v>13.1</v>
      </c>
      <c r="I32" s="54">
        <v>5307600</v>
      </c>
      <c r="J32" s="53">
        <v>2023</v>
      </c>
      <c r="K32" s="55">
        <v>551394889339.77795</v>
      </c>
      <c r="L32" s="50">
        <v>2023</v>
      </c>
      <c r="M32" s="55">
        <v>103887.800388081</v>
      </c>
      <c r="N32" s="51">
        <v>2023</v>
      </c>
      <c r="O32" s="52">
        <v>6.2994248741912502</v>
      </c>
      <c r="P32" s="53">
        <v>2023</v>
      </c>
      <c r="Q32" s="56">
        <v>20.2</v>
      </c>
      <c r="R32" s="51">
        <v>2018</v>
      </c>
      <c r="S32" s="54">
        <f t="shared" ref="S32:U32" si="40">(AC32*40)* 48</f>
        <v>892359638.5927465</v>
      </c>
      <c r="T32" s="57">
        <f t="shared" si="40"/>
        <v>325073382.06383562</v>
      </c>
      <c r="U32" s="58">
        <f t="shared" si="40"/>
        <v>1217433020.6565821</v>
      </c>
      <c r="V32" s="36">
        <f t="shared" si="1"/>
        <v>61.246774825502229</v>
      </c>
      <c r="W32" s="37">
        <f t="shared" si="2"/>
        <v>18025664699.573479</v>
      </c>
      <c r="X32" s="38">
        <f t="shared" si="3"/>
        <v>6566482317.6894789</v>
      </c>
      <c r="Y32" s="39">
        <f t="shared" si="4"/>
        <v>24592147017.262959</v>
      </c>
      <c r="Z32" s="40">
        <f t="shared" si="5"/>
        <v>3.2691026065107015E-2</v>
      </c>
      <c r="AA32" s="41">
        <f t="shared" si="6"/>
        <v>1.1908855966278484E-2</v>
      </c>
      <c r="AB32" s="42">
        <f t="shared" si="7"/>
        <v>4.4599882031385499E-2</v>
      </c>
      <c r="AC32" s="59">
        <v>464770.64510038879</v>
      </c>
      <c r="AD32" s="60">
        <v>169309.0531582477</v>
      </c>
      <c r="AE32" s="60">
        <f t="shared" si="8"/>
        <v>634079.69825863652</v>
      </c>
      <c r="AF32" s="45">
        <f t="shared" si="9"/>
        <v>0.73298458597047245</v>
      </c>
      <c r="AG32" s="46">
        <f t="shared" si="10"/>
        <v>0.2670154140295275</v>
      </c>
      <c r="AH32" s="47" t="s">
        <v>53</v>
      </c>
      <c r="AI32" s="48" t="s">
        <v>37</v>
      </c>
    </row>
    <row r="33" spans="1:35" ht="15.75" customHeight="1" x14ac:dyDescent="0.35">
      <c r="A33" s="49" t="s">
        <v>71</v>
      </c>
      <c r="B33" s="50">
        <v>9.4</v>
      </c>
      <c r="C33" s="50">
        <v>9.0050811022589397</v>
      </c>
      <c r="D33" s="50">
        <v>7.8711576065056503</v>
      </c>
      <c r="E33" s="51">
        <v>10.1390045980122</v>
      </c>
      <c r="F33" s="52">
        <v>7.0527332023417797</v>
      </c>
      <c r="G33" s="50">
        <v>2.7633554304499</v>
      </c>
      <c r="H33" s="53">
        <v>9.4</v>
      </c>
      <c r="I33" s="54">
        <v>58993475</v>
      </c>
      <c r="J33" s="53">
        <v>2023</v>
      </c>
      <c r="K33" s="55">
        <v>2300941152991.8101</v>
      </c>
      <c r="L33" s="50">
        <v>2023</v>
      </c>
      <c r="M33" s="55">
        <v>39003.316095412301</v>
      </c>
      <c r="N33" s="51">
        <v>2023</v>
      </c>
      <c r="O33" s="52">
        <v>5.6221944219590103</v>
      </c>
      <c r="P33" s="53">
        <v>2023</v>
      </c>
      <c r="Q33" s="56">
        <v>12.090999999999999</v>
      </c>
      <c r="R33" s="51">
        <v>2020</v>
      </c>
      <c r="S33" s="54">
        <f t="shared" ref="S33:U33" si="41">(AC33*40)* 48</f>
        <v>7988452605.1971788</v>
      </c>
      <c r="T33" s="57">
        <f t="shared" si="41"/>
        <v>3129982838.4453197</v>
      </c>
      <c r="U33" s="58">
        <f t="shared" si="41"/>
        <v>11118435443.642498</v>
      </c>
      <c r="V33" s="36">
        <f t="shared" si="1"/>
        <v>53.056424264638075</v>
      </c>
      <c r="W33" s="37">
        <f t="shared" si="2"/>
        <v>96588380449.439087</v>
      </c>
      <c r="X33" s="38">
        <f t="shared" si="3"/>
        <v>37844622499.642357</v>
      </c>
      <c r="Y33" s="39">
        <f t="shared" si="4"/>
        <v>134433002949.08145</v>
      </c>
      <c r="Z33" s="40">
        <f t="shared" si="5"/>
        <v>4.1977770845573158E-2</v>
      </c>
      <c r="AA33" s="41">
        <f t="shared" si="6"/>
        <v>1.6447453447661929E-2</v>
      </c>
      <c r="AB33" s="42">
        <f t="shared" si="7"/>
        <v>5.8425224293235087E-2</v>
      </c>
      <c r="AC33" s="59">
        <v>4160652.3985401969</v>
      </c>
      <c r="AD33" s="60">
        <v>1630199.3950236039</v>
      </c>
      <c r="AE33" s="60">
        <f t="shared" si="8"/>
        <v>5790851.7935638009</v>
      </c>
      <c r="AF33" s="45">
        <f t="shared" si="9"/>
        <v>0.71848711499826723</v>
      </c>
      <c r="AG33" s="46">
        <f t="shared" si="10"/>
        <v>0.28151288500173272</v>
      </c>
      <c r="AH33" s="47" t="s">
        <v>53</v>
      </c>
      <c r="AI33" s="48" t="s">
        <v>37</v>
      </c>
    </row>
    <row r="34" spans="1:35" ht="15.75" customHeight="1" x14ac:dyDescent="0.35">
      <c r="A34" s="49" t="s">
        <v>72</v>
      </c>
      <c r="B34" s="50"/>
      <c r="C34" s="50">
        <v>2.7089670208652001</v>
      </c>
      <c r="D34" s="50">
        <v>1.8818048102892599</v>
      </c>
      <c r="E34" s="51">
        <v>3.5361292314411501</v>
      </c>
      <c r="F34" s="52">
        <v>1.68946824550652</v>
      </c>
      <c r="G34" s="50">
        <v>0.86444509773283995</v>
      </c>
      <c r="H34" s="53">
        <v>2.7089670208652001</v>
      </c>
      <c r="I34" s="54">
        <v>7099750</v>
      </c>
      <c r="J34" s="53">
        <v>2023</v>
      </c>
      <c r="K34" s="55">
        <v>13987627908.8381</v>
      </c>
      <c r="L34" s="50">
        <v>2023</v>
      </c>
      <c r="M34" s="55">
        <v>1970.15780961839</v>
      </c>
      <c r="N34" s="51">
        <v>2023</v>
      </c>
      <c r="O34" s="52">
        <v>10.753277041674201</v>
      </c>
      <c r="P34" s="53">
        <v>2023</v>
      </c>
      <c r="Q34" s="56">
        <v>2.056975</v>
      </c>
      <c r="R34" s="51">
        <v>2022</v>
      </c>
      <c r="S34" s="54">
        <f t="shared" ref="S34:U34" si="42">(AC34*40)* 48</f>
        <v>230300201.7798703</v>
      </c>
      <c r="T34" s="57">
        <f t="shared" si="42"/>
        <v>117837006.38647163</v>
      </c>
      <c r="U34" s="58">
        <f t="shared" si="42"/>
        <v>348137208.1663419</v>
      </c>
      <c r="V34" s="36">
        <f t="shared" si="1"/>
        <v>16.597345876470527</v>
      </c>
      <c r="W34" s="37">
        <f t="shared" si="2"/>
        <v>473721757.55614871</v>
      </c>
      <c r="X34" s="38">
        <f t="shared" si="3"/>
        <v>242387776.21181247</v>
      </c>
      <c r="Y34" s="39">
        <f t="shared" si="4"/>
        <v>716109533.76796114</v>
      </c>
      <c r="Z34" s="40">
        <f t="shared" si="5"/>
        <v>3.3867197543682656E-2</v>
      </c>
      <c r="AA34" s="41">
        <f t="shared" si="6"/>
        <v>1.7328726342417177E-2</v>
      </c>
      <c r="AB34" s="42">
        <f t="shared" si="7"/>
        <v>5.1195923886099837E-2</v>
      </c>
      <c r="AC34" s="59">
        <v>119948.0217603491</v>
      </c>
      <c r="AD34" s="60">
        <v>61373.440826287311</v>
      </c>
      <c r="AE34" s="60">
        <f t="shared" si="8"/>
        <v>181321.46258663642</v>
      </c>
      <c r="AF34" s="45">
        <f t="shared" si="9"/>
        <v>0.66152136679924067</v>
      </c>
      <c r="AG34" s="46">
        <f t="shared" si="10"/>
        <v>0.33847863320075933</v>
      </c>
      <c r="AH34" s="47" t="s">
        <v>53</v>
      </c>
      <c r="AI34" s="48" t="s">
        <v>39</v>
      </c>
    </row>
    <row r="35" spans="1:35" ht="15.75" customHeight="1" x14ac:dyDescent="0.35">
      <c r="A35" s="49" t="s">
        <v>73</v>
      </c>
      <c r="B35" s="50">
        <v>5.5</v>
      </c>
      <c r="C35" s="50">
        <v>4.7833032057985498</v>
      </c>
      <c r="D35" s="50">
        <v>3.6737963895469501</v>
      </c>
      <c r="E35" s="51">
        <v>5.8928100220501403</v>
      </c>
      <c r="F35" s="52">
        <v>3.37536164838474</v>
      </c>
      <c r="G35" s="50">
        <v>1.4394535288267201</v>
      </c>
      <c r="H35" s="53">
        <v>5.5</v>
      </c>
      <c r="I35" s="54">
        <v>1877445</v>
      </c>
      <c r="J35" s="53">
        <v>2023</v>
      </c>
      <c r="K35" s="55">
        <v>42247850064.512497</v>
      </c>
      <c r="L35" s="50">
        <v>2023</v>
      </c>
      <c r="M35" s="55">
        <v>22502.842993809401</v>
      </c>
      <c r="N35" s="51">
        <v>2023</v>
      </c>
      <c r="O35" s="52">
        <v>8.9380462331663697</v>
      </c>
      <c r="P35" s="53">
        <v>2023</v>
      </c>
      <c r="Q35" s="56">
        <v>7.1</v>
      </c>
      <c r="R35" s="51">
        <v>2018</v>
      </c>
      <c r="S35" s="54">
        <f t="shared" ref="S35:U35" si="43">(AC35*40)* 48</f>
        <v>121671472.31907243</v>
      </c>
      <c r="T35" s="57">
        <f t="shared" si="43"/>
        <v>51887900.744219154</v>
      </c>
      <c r="U35" s="58">
        <f t="shared" si="43"/>
        <v>173559373.06329155</v>
      </c>
      <c r="V35" s="36">
        <f t="shared" si="1"/>
        <v>27.63750775347302</v>
      </c>
      <c r="W35" s="37">
        <f t="shared" si="2"/>
        <v>863867453.46541417</v>
      </c>
      <c r="X35" s="38">
        <f t="shared" si="3"/>
        <v>368404095.28395599</v>
      </c>
      <c r="Y35" s="39">
        <f t="shared" si="4"/>
        <v>1232271548.7493701</v>
      </c>
      <c r="Z35" s="40">
        <f t="shared" si="5"/>
        <v>2.0447607443841234E-2</v>
      </c>
      <c r="AA35" s="41">
        <f t="shared" si="6"/>
        <v>8.720067286770869E-3</v>
      </c>
      <c r="AB35" s="42">
        <f t="shared" si="7"/>
        <v>2.9167674730612103E-2</v>
      </c>
      <c r="AC35" s="59">
        <v>63370.558499516883</v>
      </c>
      <c r="AD35" s="60">
        <v>27024.94830428081</v>
      </c>
      <c r="AE35" s="60">
        <f t="shared" si="8"/>
        <v>90395.506803797689</v>
      </c>
      <c r="AF35" s="45">
        <f t="shared" si="9"/>
        <v>0.70103659728421996</v>
      </c>
      <c r="AG35" s="46">
        <f t="shared" si="10"/>
        <v>0.29896340271578009</v>
      </c>
      <c r="AH35" s="47" t="s">
        <v>53</v>
      </c>
      <c r="AI35" s="48" t="s">
        <v>37</v>
      </c>
    </row>
    <row r="36" spans="1:35" ht="15.75" customHeight="1" x14ac:dyDescent="0.35">
      <c r="A36" s="49" t="s">
        <v>74</v>
      </c>
      <c r="B36" s="50">
        <v>1.1000000000000001</v>
      </c>
      <c r="C36" s="50">
        <v>3.3164047356287298</v>
      </c>
      <c r="D36" s="50">
        <v>-0.29280768470277801</v>
      </c>
      <c r="E36" s="51">
        <v>6.9256171559602304</v>
      </c>
      <c r="F36" s="52">
        <v>2.20078451702978</v>
      </c>
      <c r="G36" s="50">
        <v>0.858667619811183</v>
      </c>
      <c r="H36" s="53">
        <v>1.1000000000000001</v>
      </c>
      <c r="I36" s="54">
        <v>2871585</v>
      </c>
      <c r="J36" s="53">
        <v>2023</v>
      </c>
      <c r="K36" s="55">
        <v>79789877416.168106</v>
      </c>
      <c r="L36" s="50">
        <v>2023</v>
      </c>
      <c r="M36" s="55">
        <v>27786.005782927601</v>
      </c>
      <c r="N36" s="51">
        <v>2023</v>
      </c>
      <c r="O36" s="52">
        <v>9.1173196239047503</v>
      </c>
      <c r="P36" s="53">
        <v>2023</v>
      </c>
      <c r="Q36" s="56">
        <v>6.1</v>
      </c>
      <c r="R36" s="51">
        <v>2018</v>
      </c>
      <c r="S36" s="54">
        <f t="shared" ref="S36:U36" si="44">(AC36*40)* 48</f>
        <v>121339004.30083123</v>
      </c>
      <c r="T36" s="57">
        <f t="shared" si="44"/>
        <v>47342151.495081529</v>
      </c>
      <c r="U36" s="58">
        <f t="shared" si="44"/>
        <v>168681155.79591277</v>
      </c>
      <c r="V36" s="36">
        <f t="shared" si="1"/>
        <v>16.486418300374716</v>
      </c>
      <c r="W36" s="37">
        <f t="shared" si="2"/>
        <v>740167926.23507047</v>
      </c>
      <c r="X36" s="38">
        <f t="shared" si="3"/>
        <v>288787124.11999732</v>
      </c>
      <c r="Y36" s="39">
        <f t="shared" si="4"/>
        <v>1028955050.3550677</v>
      </c>
      <c r="Z36" s="40">
        <f t="shared" si="5"/>
        <v>9.2764640102716532E-3</v>
      </c>
      <c r="AA36" s="41">
        <f t="shared" si="6"/>
        <v>3.6193453790352528E-3</v>
      </c>
      <c r="AB36" s="42">
        <f t="shared" si="7"/>
        <v>1.2895809389306906E-2</v>
      </c>
      <c r="AC36" s="59">
        <v>63197.398073349606</v>
      </c>
      <c r="AD36" s="60">
        <v>24657.37057035496</v>
      </c>
      <c r="AE36" s="60">
        <f t="shared" si="8"/>
        <v>87854.768643704563</v>
      </c>
      <c r="AF36" s="45">
        <f t="shared" si="9"/>
        <v>0.71933941718800665</v>
      </c>
      <c r="AG36" s="46">
        <f t="shared" si="10"/>
        <v>0.28066058281199335</v>
      </c>
      <c r="AH36" s="47" t="s">
        <v>53</v>
      </c>
      <c r="AI36" s="48" t="s">
        <v>37</v>
      </c>
    </row>
    <row r="37" spans="1:35" ht="15.75" customHeight="1" x14ac:dyDescent="0.35">
      <c r="A37" s="49" t="s">
        <v>75</v>
      </c>
      <c r="B37" s="50">
        <v>17</v>
      </c>
      <c r="C37" s="50">
        <v>15.3847974181027</v>
      </c>
      <c r="D37" s="50">
        <v>12.7219423420339</v>
      </c>
      <c r="E37" s="51">
        <v>18.047652494171501</v>
      </c>
      <c r="F37" s="52">
        <v>9.8371537721182296</v>
      </c>
      <c r="G37" s="50">
        <v>6.1374828552974998</v>
      </c>
      <c r="H37" s="53">
        <v>17</v>
      </c>
      <c r="I37" s="54">
        <v>666430</v>
      </c>
      <c r="J37" s="53">
        <v>2023</v>
      </c>
      <c r="K37" s="55">
        <v>85755006123.597595</v>
      </c>
      <c r="L37" s="50">
        <v>2023</v>
      </c>
      <c r="M37" s="55">
        <v>128678.18994282599</v>
      </c>
      <c r="N37" s="51">
        <v>2023</v>
      </c>
      <c r="O37" s="52">
        <v>3.7414036198313601</v>
      </c>
      <c r="P37" s="53">
        <v>2023</v>
      </c>
      <c r="Q37" s="56">
        <v>29.5</v>
      </c>
      <c r="R37" s="51">
        <v>2018</v>
      </c>
      <c r="S37" s="54">
        <f t="shared" ref="S37:U37" si="45">(AC37*40)* 48</f>
        <v>125870868.25637282</v>
      </c>
      <c r="T37" s="57">
        <f t="shared" si="45"/>
        <v>78531891.82571353</v>
      </c>
      <c r="U37" s="58">
        <f t="shared" si="45"/>
        <v>204402760.08208635</v>
      </c>
      <c r="V37" s="36">
        <f t="shared" si="1"/>
        <v>117.83967082171201</v>
      </c>
      <c r="W37" s="37">
        <f t="shared" si="2"/>
        <v>3713190613.5629983</v>
      </c>
      <c r="X37" s="38">
        <f t="shared" si="3"/>
        <v>2316690808.8585491</v>
      </c>
      <c r="Y37" s="39">
        <f t="shared" si="4"/>
        <v>6029881422.4215469</v>
      </c>
      <c r="Z37" s="40">
        <f t="shared" si="5"/>
        <v>4.3299986571177243E-2</v>
      </c>
      <c r="AA37" s="41">
        <f t="shared" si="6"/>
        <v>2.7015225274656645E-2</v>
      </c>
      <c r="AB37" s="42">
        <f t="shared" si="7"/>
        <v>7.0315211845833892E-2</v>
      </c>
      <c r="AC37" s="59">
        <v>65557.74388352751</v>
      </c>
      <c r="AD37" s="60">
        <v>40902.026992559127</v>
      </c>
      <c r="AE37" s="60">
        <f t="shared" si="8"/>
        <v>106459.77087608664</v>
      </c>
      <c r="AF37" s="45">
        <f t="shared" si="9"/>
        <v>0.61579828083448673</v>
      </c>
      <c r="AG37" s="46">
        <f t="shared" si="10"/>
        <v>0.38420171916551327</v>
      </c>
      <c r="AH37" s="47" t="s">
        <v>53</v>
      </c>
      <c r="AI37" s="48" t="s">
        <v>37</v>
      </c>
    </row>
    <row r="38" spans="1:35" ht="15.75" customHeight="1" x14ac:dyDescent="0.35">
      <c r="A38" s="49" t="s">
        <v>76</v>
      </c>
      <c r="B38" s="50"/>
      <c r="C38" s="50">
        <v>3.4123548892582098</v>
      </c>
      <c r="D38" s="50">
        <v>2.40722325356107</v>
      </c>
      <c r="E38" s="51">
        <v>4.4174865249553497</v>
      </c>
      <c r="F38" s="52">
        <v>2.4592151293693099</v>
      </c>
      <c r="G38" s="50">
        <v>1.10878086594841</v>
      </c>
      <c r="H38" s="53">
        <v>3.4123548892582098</v>
      </c>
      <c r="I38" s="54">
        <v>2457783</v>
      </c>
      <c r="J38" s="53">
        <v>2023</v>
      </c>
      <c r="K38" s="55">
        <v>16539436547.295</v>
      </c>
      <c r="L38" s="50">
        <v>2023</v>
      </c>
      <c r="M38" s="55">
        <v>6729.4128681396896</v>
      </c>
      <c r="N38" s="51">
        <v>2023</v>
      </c>
      <c r="O38" s="52">
        <v>13.417010438129999</v>
      </c>
      <c r="P38" s="53">
        <v>2023</v>
      </c>
      <c r="Q38" s="56">
        <v>2.0670000000000002</v>
      </c>
      <c r="R38" s="51">
        <v>2023</v>
      </c>
      <c r="S38" s="54">
        <f t="shared" ref="S38:U38" si="46">(AC38*40)* 48</f>
        <v>116048969.05548847</v>
      </c>
      <c r="T38" s="57">
        <f t="shared" si="46"/>
        <v>52322741.050623</v>
      </c>
      <c r="U38" s="58">
        <f t="shared" si="46"/>
        <v>168371710.10611144</v>
      </c>
      <c r="V38" s="36">
        <f t="shared" si="1"/>
        <v>21.288592626209475</v>
      </c>
      <c r="W38" s="37">
        <f t="shared" si="2"/>
        <v>239873219.03769469</v>
      </c>
      <c r="X38" s="38">
        <f t="shared" si="3"/>
        <v>108151105.75163774</v>
      </c>
      <c r="Y38" s="39">
        <f t="shared" si="4"/>
        <v>348024324.78933245</v>
      </c>
      <c r="Z38" s="40">
        <f t="shared" si="5"/>
        <v>1.450310706484893E-2</v>
      </c>
      <c r="AA38" s="41">
        <f t="shared" si="6"/>
        <v>6.5389836855914958E-3</v>
      </c>
      <c r="AB38" s="42">
        <f t="shared" si="7"/>
        <v>2.1042090750440424E-2</v>
      </c>
      <c r="AC38" s="59">
        <v>60442.171383066903</v>
      </c>
      <c r="AD38" s="60">
        <v>27251.427630532809</v>
      </c>
      <c r="AE38" s="60">
        <f t="shared" si="8"/>
        <v>87693.599013599713</v>
      </c>
      <c r="AF38" s="45">
        <f t="shared" si="9"/>
        <v>0.68924268205360573</v>
      </c>
      <c r="AG38" s="46">
        <f t="shared" si="10"/>
        <v>0.31075731794639422</v>
      </c>
      <c r="AH38" s="47" t="s">
        <v>53</v>
      </c>
      <c r="AI38" s="48" t="s">
        <v>44</v>
      </c>
    </row>
    <row r="39" spans="1:35" ht="15.75" customHeight="1" x14ac:dyDescent="0.35">
      <c r="A39" s="49" t="s">
        <v>77</v>
      </c>
      <c r="B39" s="50"/>
      <c r="C39" s="50">
        <v>5.1403934482340299</v>
      </c>
      <c r="D39" s="50">
        <v>4.2538191471446503</v>
      </c>
      <c r="E39" s="51">
        <v>6.0269677493234104</v>
      </c>
      <c r="F39" s="52">
        <v>3.1645690205478498</v>
      </c>
      <c r="G39" s="50">
        <v>2.1915702705922899</v>
      </c>
      <c r="H39" s="53">
        <v>5.1403934482340299</v>
      </c>
      <c r="I39" s="54">
        <v>616177</v>
      </c>
      <c r="J39" s="53">
        <v>2023</v>
      </c>
      <c r="K39" s="55">
        <v>7530593375.2203398</v>
      </c>
      <c r="L39" s="50">
        <v>2023</v>
      </c>
      <c r="M39" s="55">
        <v>12221.477554696699</v>
      </c>
      <c r="N39" s="51">
        <v>2023</v>
      </c>
      <c r="O39" s="52">
        <v>8.5847691045540309</v>
      </c>
      <c r="P39" s="53">
        <v>2023</v>
      </c>
      <c r="Q39" s="56">
        <v>5.80361875</v>
      </c>
      <c r="R39" s="51">
        <v>2022</v>
      </c>
      <c r="S39" s="54">
        <f t="shared" ref="S39:U39" si="47">(AC39*40)* 48</f>
        <v>37438745.191182949</v>
      </c>
      <c r="T39" s="57">
        <f t="shared" si="47"/>
        <v>25927587.736756705</v>
      </c>
      <c r="U39" s="58">
        <f t="shared" si="47"/>
        <v>63366332.927939653</v>
      </c>
      <c r="V39" s="36">
        <f t="shared" si="1"/>
        <v>42.078149195371957</v>
      </c>
      <c r="W39" s="37">
        <f t="shared" si="2"/>
        <v>217280203.56802168</v>
      </c>
      <c r="X39" s="38">
        <f t="shared" si="3"/>
        <v>150473834.33131129</v>
      </c>
      <c r="Y39" s="39">
        <f t="shared" si="4"/>
        <v>367754037.899333</v>
      </c>
      <c r="Z39" s="40">
        <f t="shared" si="5"/>
        <v>2.8852999058877511E-2</v>
      </c>
      <c r="AA39" s="41">
        <f t="shared" si="6"/>
        <v>1.9981670345719408E-2</v>
      </c>
      <c r="AB39" s="42">
        <f t="shared" si="7"/>
        <v>4.8834669404596923E-2</v>
      </c>
      <c r="AC39" s="59">
        <v>19499.34645374112</v>
      </c>
      <c r="AD39" s="60">
        <v>13503.951946227449</v>
      </c>
      <c r="AE39" s="60">
        <f t="shared" si="8"/>
        <v>33003.298399968568</v>
      </c>
      <c r="AF39" s="45">
        <f t="shared" si="9"/>
        <v>0.59083023210067065</v>
      </c>
      <c r="AG39" s="46">
        <f t="shared" si="10"/>
        <v>0.40916976789932946</v>
      </c>
      <c r="AH39" s="47" t="s">
        <v>53</v>
      </c>
      <c r="AI39" s="48" t="s">
        <v>44</v>
      </c>
    </row>
    <row r="40" spans="1:35" ht="15.75" customHeight="1" x14ac:dyDescent="0.35">
      <c r="A40" s="49" t="s">
        <v>78</v>
      </c>
      <c r="B40" s="50">
        <v>17.399999999999999</v>
      </c>
      <c r="C40" s="50">
        <v>15.082857011822499</v>
      </c>
      <c r="D40" s="50">
        <v>11.141602143997201</v>
      </c>
      <c r="E40" s="51">
        <v>19.024111879647698</v>
      </c>
      <c r="F40" s="52">
        <v>9.4413838501583598</v>
      </c>
      <c r="G40" s="50">
        <v>5.5862223951842598</v>
      </c>
      <c r="H40" s="53">
        <v>17.399999999999999</v>
      </c>
      <c r="I40" s="54">
        <v>17877117</v>
      </c>
      <c r="J40" s="53">
        <v>2023</v>
      </c>
      <c r="K40" s="55">
        <v>1154361305398.0601</v>
      </c>
      <c r="L40" s="50">
        <v>2023</v>
      </c>
      <c r="M40" s="55">
        <v>64572.005955885397</v>
      </c>
      <c r="N40" s="51">
        <v>2023</v>
      </c>
      <c r="O40" s="52">
        <v>3.8383935434280798</v>
      </c>
      <c r="P40" s="53">
        <v>2023</v>
      </c>
      <c r="Q40" s="56">
        <v>21.3</v>
      </c>
      <c r="R40" s="51">
        <v>2018</v>
      </c>
      <c r="S40" s="54">
        <f t="shared" ref="S40:U40" si="48">(AC40*40)* 48</f>
        <v>3240666695.6388769</v>
      </c>
      <c r="T40" s="57">
        <f t="shared" si="48"/>
        <v>1917418585.8572016</v>
      </c>
      <c r="U40" s="58">
        <f t="shared" si="48"/>
        <v>5158085281.4960785</v>
      </c>
      <c r="V40" s="36">
        <f t="shared" si="1"/>
        <v>107.25546998753779</v>
      </c>
      <c r="W40" s="37">
        <f t="shared" si="2"/>
        <v>69026200617.108078</v>
      </c>
      <c r="X40" s="38">
        <f t="shared" si="3"/>
        <v>40841015878.758392</v>
      </c>
      <c r="Y40" s="39">
        <f t="shared" si="4"/>
        <v>109867216495.86647</v>
      </c>
      <c r="Z40" s="40">
        <f t="shared" si="5"/>
        <v>5.9796010394947946E-2</v>
      </c>
      <c r="AA40" s="41">
        <f t="shared" si="6"/>
        <v>3.5379751285647194E-2</v>
      </c>
      <c r="AB40" s="42">
        <f t="shared" si="7"/>
        <v>9.5175761680595133E-2</v>
      </c>
      <c r="AC40" s="59">
        <v>1687847.237311915</v>
      </c>
      <c r="AD40" s="60">
        <v>998655.51346729253</v>
      </c>
      <c r="AE40" s="60">
        <f t="shared" si="8"/>
        <v>2686502.7507792078</v>
      </c>
      <c r="AF40" s="45">
        <f t="shared" si="9"/>
        <v>0.62826931289103005</v>
      </c>
      <c r="AG40" s="46">
        <f t="shared" si="10"/>
        <v>0.37173068710896984</v>
      </c>
      <c r="AH40" s="47" t="s">
        <v>53</v>
      </c>
      <c r="AI40" s="48" t="s">
        <v>37</v>
      </c>
    </row>
    <row r="41" spans="1:35" ht="15.75" customHeight="1" x14ac:dyDescent="0.35">
      <c r="A41" s="49" t="s">
        <v>79</v>
      </c>
      <c r="B41" s="50"/>
      <c r="C41" s="50">
        <v>3.4815484172857101</v>
      </c>
      <c r="D41" s="50">
        <v>2.4751392790554401</v>
      </c>
      <c r="E41" s="51">
        <v>4.4879575555159699</v>
      </c>
      <c r="F41" s="52">
        <v>2.3746345373159601</v>
      </c>
      <c r="G41" s="50">
        <v>0.98773059719577505</v>
      </c>
      <c r="H41" s="53">
        <v>3.4815484172857101</v>
      </c>
      <c r="I41" s="54">
        <v>1827816</v>
      </c>
      <c r="J41" s="53">
        <v>2023</v>
      </c>
      <c r="K41" s="55">
        <v>15763621848.115</v>
      </c>
      <c r="L41" s="50">
        <v>2023</v>
      </c>
      <c r="M41" s="55">
        <v>8624.2936094853103</v>
      </c>
      <c r="N41" s="51">
        <v>2023</v>
      </c>
      <c r="O41" s="52">
        <v>9.3618724976901593</v>
      </c>
      <c r="P41" s="53">
        <v>2023</v>
      </c>
      <c r="Q41" s="56">
        <v>3.8</v>
      </c>
      <c r="R41" s="51">
        <v>2018</v>
      </c>
      <c r="S41" s="54">
        <f t="shared" ref="S41:U41" si="49">(AC41*40)* 48</f>
        <v>83335584.028007209</v>
      </c>
      <c r="T41" s="57">
        <f t="shared" si="49"/>
        <v>34663483.953484669</v>
      </c>
      <c r="U41" s="58">
        <f t="shared" si="49"/>
        <v>117999067.98149188</v>
      </c>
      <c r="V41" s="36">
        <f t="shared" si="1"/>
        <v>18.964427466158885</v>
      </c>
      <c r="W41" s="37">
        <f t="shared" si="2"/>
        <v>316675219.30642736</v>
      </c>
      <c r="X41" s="38">
        <f t="shared" si="3"/>
        <v>131721239.02324174</v>
      </c>
      <c r="Y41" s="39">
        <f t="shared" si="4"/>
        <v>448396458.32966912</v>
      </c>
      <c r="Z41" s="40">
        <f t="shared" si="5"/>
        <v>2.0088988581281851E-2</v>
      </c>
      <c r="AA41" s="41">
        <f t="shared" si="6"/>
        <v>8.3560263175808704E-3</v>
      </c>
      <c r="AB41" s="42">
        <f t="shared" si="7"/>
        <v>2.8445014898862721E-2</v>
      </c>
      <c r="AC41" s="59">
        <v>43403.950014587092</v>
      </c>
      <c r="AD41" s="60">
        <v>18053.897892439931</v>
      </c>
      <c r="AE41" s="60">
        <f t="shared" si="8"/>
        <v>61457.847907027026</v>
      </c>
      <c r="AF41" s="45">
        <f t="shared" si="9"/>
        <v>0.70623934115376552</v>
      </c>
      <c r="AG41" s="46">
        <f t="shared" si="10"/>
        <v>0.29376065884623448</v>
      </c>
      <c r="AH41" s="47" t="s">
        <v>53</v>
      </c>
      <c r="AI41" s="48" t="s">
        <v>44</v>
      </c>
    </row>
    <row r="42" spans="1:35" ht="15.75" customHeight="1" x14ac:dyDescent="0.35">
      <c r="A42" s="49" t="s">
        <v>80</v>
      </c>
      <c r="B42" s="50">
        <v>8.6</v>
      </c>
      <c r="C42" s="50">
        <v>9.8729496501077296</v>
      </c>
      <c r="D42" s="50">
        <v>7.4457059668658099</v>
      </c>
      <c r="E42" s="51">
        <v>12.300193333349601</v>
      </c>
      <c r="F42" s="52">
        <v>4.8415646605686904</v>
      </c>
      <c r="G42" s="50">
        <v>5.45054391365922</v>
      </c>
      <c r="H42" s="53">
        <v>8.6</v>
      </c>
      <c r="I42" s="54">
        <v>5519594</v>
      </c>
      <c r="J42" s="53">
        <v>2023</v>
      </c>
      <c r="K42" s="55">
        <v>485310823603.66199</v>
      </c>
      <c r="L42" s="50">
        <v>2023</v>
      </c>
      <c r="M42" s="55">
        <v>87925.094418839901</v>
      </c>
      <c r="N42" s="51">
        <v>2023</v>
      </c>
      <c r="O42" s="52">
        <v>5.5178498710465904</v>
      </c>
      <c r="P42" s="53">
        <v>2023</v>
      </c>
      <c r="Q42" s="56">
        <v>35.200000000000003</v>
      </c>
      <c r="R42" s="51">
        <v>2018</v>
      </c>
      <c r="S42" s="54">
        <f t="shared" ref="S42:U42" si="50">(AC42*40)* 48</f>
        <v>513090648.02086997</v>
      </c>
      <c r="T42" s="57">
        <f t="shared" si="50"/>
        <v>577627958.06534302</v>
      </c>
      <c r="U42" s="58">
        <f t="shared" si="50"/>
        <v>1090718606.0862131</v>
      </c>
      <c r="V42" s="36">
        <f t="shared" si="1"/>
        <v>104.65044314225703</v>
      </c>
      <c r="W42" s="37">
        <f t="shared" si="2"/>
        <v>18060790810.334625</v>
      </c>
      <c r="X42" s="38">
        <f t="shared" si="3"/>
        <v>20332504123.900078</v>
      </c>
      <c r="Y42" s="39">
        <f t="shared" si="4"/>
        <v>38393294934.234703</v>
      </c>
      <c r="Z42" s="40">
        <f t="shared" si="5"/>
        <v>3.7214893902890372E-2</v>
      </c>
      <c r="AA42" s="41">
        <f t="shared" si="6"/>
        <v>4.1895838986078314E-2</v>
      </c>
      <c r="AB42" s="42">
        <f t="shared" si="7"/>
        <v>7.9110732888968693E-2</v>
      </c>
      <c r="AC42" s="59">
        <v>267234.71251086978</v>
      </c>
      <c r="AD42" s="60">
        <v>300847.89482569951</v>
      </c>
      <c r="AE42" s="60">
        <f t="shared" si="8"/>
        <v>568082.60733656934</v>
      </c>
      <c r="AF42" s="45">
        <f t="shared" si="9"/>
        <v>0.47041523373473471</v>
      </c>
      <c r="AG42" s="46">
        <f t="shared" si="10"/>
        <v>0.52958476626526518</v>
      </c>
      <c r="AH42" s="47" t="s">
        <v>53</v>
      </c>
      <c r="AI42" s="48" t="s">
        <v>37</v>
      </c>
    </row>
    <row r="43" spans="1:35" ht="15.75" customHeight="1" x14ac:dyDescent="0.35">
      <c r="A43" s="49" t="s">
        <v>81</v>
      </c>
      <c r="B43" s="50">
        <v>3.3</v>
      </c>
      <c r="C43" s="50">
        <v>3.28820359998348</v>
      </c>
      <c r="D43" s="50">
        <v>2.4873372769700701</v>
      </c>
      <c r="E43" s="51">
        <v>4.0890699229968996</v>
      </c>
      <c r="F43" s="52">
        <v>2.2580824379358799</v>
      </c>
      <c r="G43" s="50">
        <v>0.93253998196955201</v>
      </c>
      <c r="H43" s="53">
        <v>3.3</v>
      </c>
      <c r="I43" s="54">
        <v>36687353</v>
      </c>
      <c r="J43" s="53">
        <v>2023</v>
      </c>
      <c r="K43" s="55">
        <v>809200697797.08801</v>
      </c>
      <c r="L43" s="50">
        <v>2023</v>
      </c>
      <c r="M43" s="55">
        <v>22056.6661704127</v>
      </c>
      <c r="N43" s="51">
        <v>2023</v>
      </c>
      <c r="O43" s="52">
        <v>11.5289127961105</v>
      </c>
      <c r="P43" s="53">
        <v>2023</v>
      </c>
      <c r="Q43" s="56">
        <v>7.5</v>
      </c>
      <c r="R43" s="51">
        <v>2014</v>
      </c>
      <c r="S43" s="54">
        <f t="shared" ref="S43:U43" si="51">(AC43*40)* 48</f>
        <v>1590586896.0701611</v>
      </c>
      <c r="T43" s="57">
        <f t="shared" si="51"/>
        <v>656878531.29850733</v>
      </c>
      <c r="U43" s="58">
        <f t="shared" si="51"/>
        <v>2247465427.3686686</v>
      </c>
      <c r="V43" s="36">
        <f t="shared" si="1"/>
        <v>17.904767653815398</v>
      </c>
      <c r="W43" s="37">
        <f t="shared" si="2"/>
        <v>11929401720.526209</v>
      </c>
      <c r="X43" s="38">
        <f t="shared" si="3"/>
        <v>4926588984.7388048</v>
      </c>
      <c r="Y43" s="39">
        <f t="shared" si="4"/>
        <v>16855990705.265015</v>
      </c>
      <c r="Z43" s="40">
        <f t="shared" si="5"/>
        <v>1.474220394643997E-2</v>
      </c>
      <c r="AA43" s="41">
        <f t="shared" si="6"/>
        <v>6.0882164315362178E-3</v>
      </c>
      <c r="AB43" s="42">
        <f t="shared" si="7"/>
        <v>2.0830420377976187E-2</v>
      </c>
      <c r="AC43" s="59">
        <v>828430.67503654223</v>
      </c>
      <c r="AD43" s="60">
        <v>342124.23505130591</v>
      </c>
      <c r="AE43" s="60">
        <f t="shared" si="8"/>
        <v>1170554.9100878481</v>
      </c>
      <c r="AF43" s="45">
        <f t="shared" si="9"/>
        <v>0.70772474481728498</v>
      </c>
      <c r="AG43" s="46">
        <f t="shared" si="10"/>
        <v>0.29227525518271508</v>
      </c>
      <c r="AH43" s="47" t="s">
        <v>53</v>
      </c>
      <c r="AI43" s="48" t="s">
        <v>37</v>
      </c>
    </row>
    <row r="44" spans="1:35" ht="15.75" customHeight="1" x14ac:dyDescent="0.35">
      <c r="A44" s="49" t="s">
        <v>82</v>
      </c>
      <c r="B44" s="50">
        <v>6</v>
      </c>
      <c r="C44" s="50">
        <v>7.0148396069400896</v>
      </c>
      <c r="D44" s="50">
        <v>5.5183592170644804</v>
      </c>
      <c r="E44" s="51">
        <v>8.5113199968157005</v>
      </c>
      <c r="F44" s="52">
        <v>4.8273978798670898</v>
      </c>
      <c r="G44" s="50">
        <v>1.75572524669971</v>
      </c>
      <c r="H44" s="53">
        <v>6</v>
      </c>
      <c r="I44" s="54">
        <v>10578174</v>
      </c>
      <c r="J44" s="53">
        <v>2023</v>
      </c>
      <c r="K44" s="55">
        <v>289114289663.54199</v>
      </c>
      <c r="L44" s="50">
        <v>2023</v>
      </c>
      <c r="M44" s="55">
        <v>27331.209494525501</v>
      </c>
      <c r="N44" s="51">
        <v>2023</v>
      </c>
      <c r="O44" s="52">
        <v>4.3112819189867198</v>
      </c>
      <c r="P44" s="53">
        <v>2023</v>
      </c>
      <c r="Q44" s="56">
        <v>7.6289999999999996</v>
      </c>
      <c r="R44" s="51">
        <v>2023</v>
      </c>
      <c r="S44" s="54">
        <f t="shared" ref="S44:U44" si="52">(AC44*40)* 48</f>
        <v>980449051.0169313</v>
      </c>
      <c r="T44" s="57">
        <f t="shared" si="52"/>
        <v>356589449.39102322</v>
      </c>
      <c r="U44" s="58">
        <f t="shared" si="52"/>
        <v>1337038500.4079547</v>
      </c>
      <c r="V44" s="36">
        <f t="shared" si="1"/>
        <v>33.709924736634434</v>
      </c>
      <c r="W44" s="37">
        <f t="shared" si="2"/>
        <v>7479845810.208168</v>
      </c>
      <c r="X44" s="38">
        <f t="shared" si="3"/>
        <v>2720420909.4041162</v>
      </c>
      <c r="Y44" s="39">
        <f t="shared" si="4"/>
        <v>10200266719.612284</v>
      </c>
      <c r="Z44" s="40">
        <f t="shared" si="5"/>
        <v>2.5871588079969591E-2</v>
      </c>
      <c r="AA44" s="41">
        <f t="shared" si="6"/>
        <v>9.4095000028190153E-3</v>
      </c>
      <c r="AB44" s="42">
        <f t="shared" si="7"/>
        <v>3.5281088082788604E-2</v>
      </c>
      <c r="AC44" s="59">
        <v>510650.5474046517</v>
      </c>
      <c r="AD44" s="60">
        <v>185723.67155782459</v>
      </c>
      <c r="AE44" s="60">
        <f t="shared" si="8"/>
        <v>696374.21896247636</v>
      </c>
      <c r="AF44" s="45">
        <f t="shared" si="9"/>
        <v>0.73329904166393001</v>
      </c>
      <c r="AG44" s="46">
        <f t="shared" si="10"/>
        <v>0.26670095833606988</v>
      </c>
      <c r="AH44" s="47" t="s">
        <v>53</v>
      </c>
      <c r="AI44" s="48" t="s">
        <v>37</v>
      </c>
    </row>
    <row r="45" spans="1:35" ht="15.75" customHeight="1" x14ac:dyDescent="0.35">
      <c r="A45" s="49" t="s">
        <v>83</v>
      </c>
      <c r="B45" s="50">
        <v>1</v>
      </c>
      <c r="C45" s="50">
        <v>1.8537799699849999</v>
      </c>
      <c r="D45" s="50">
        <v>0.77680636439700401</v>
      </c>
      <c r="E45" s="51">
        <v>2.9307535755729899</v>
      </c>
      <c r="F45" s="52">
        <v>1.13983026102245</v>
      </c>
      <c r="G45" s="50">
        <v>0.62008550102316895</v>
      </c>
      <c r="H45" s="53">
        <v>1</v>
      </c>
      <c r="I45" s="54">
        <v>19059479</v>
      </c>
      <c r="J45" s="53">
        <v>2023</v>
      </c>
      <c r="K45" s="55">
        <v>350775856415.18903</v>
      </c>
      <c r="L45" s="50">
        <v>2023</v>
      </c>
      <c r="M45" s="55">
        <v>18404.273087170401</v>
      </c>
      <c r="N45" s="51">
        <v>2023</v>
      </c>
      <c r="O45" s="52">
        <v>10.3971874764996</v>
      </c>
      <c r="P45" s="53">
        <v>2023</v>
      </c>
      <c r="Q45" s="56">
        <v>7.9</v>
      </c>
      <c r="R45" s="51">
        <v>2021</v>
      </c>
      <c r="S45" s="54">
        <f t="shared" ref="S45:U45" si="53">(AC45*40)* 48</f>
        <v>417111761.73162067</v>
      </c>
      <c r="T45" s="57">
        <f t="shared" si="53"/>
        <v>226915326.43114695</v>
      </c>
      <c r="U45" s="58">
        <f t="shared" si="53"/>
        <v>644027088.16276765</v>
      </c>
      <c r="V45" s="36">
        <f t="shared" si="1"/>
        <v>11.905641619644847</v>
      </c>
      <c r="W45" s="37">
        <f t="shared" si="2"/>
        <v>3295182917.6798034</v>
      </c>
      <c r="X45" s="38">
        <f t="shared" si="3"/>
        <v>1792631078.806061</v>
      </c>
      <c r="Y45" s="39">
        <f t="shared" si="4"/>
        <v>5087813996.4858646</v>
      </c>
      <c r="Z45" s="40">
        <f t="shared" si="5"/>
        <v>9.3939843846593714E-3</v>
      </c>
      <c r="AA45" s="41">
        <f t="shared" si="6"/>
        <v>5.1104745267423653E-3</v>
      </c>
      <c r="AB45" s="42">
        <f t="shared" si="7"/>
        <v>1.4504458911401737E-2</v>
      </c>
      <c r="AC45" s="59">
        <v>217245.70923521911</v>
      </c>
      <c r="AD45" s="60">
        <v>118185.0658495557</v>
      </c>
      <c r="AE45" s="60">
        <f t="shared" si="8"/>
        <v>335430.77508477482</v>
      </c>
      <c r="AF45" s="45">
        <f t="shared" si="9"/>
        <v>0.64766182882388679</v>
      </c>
      <c r="AG45" s="46">
        <f t="shared" si="10"/>
        <v>0.35233817117611316</v>
      </c>
      <c r="AH45" s="47" t="s">
        <v>53</v>
      </c>
      <c r="AI45" s="48" t="s">
        <v>37</v>
      </c>
    </row>
    <row r="46" spans="1:35" ht="15.75" customHeight="1" x14ac:dyDescent="0.35">
      <c r="A46" s="49" t="s">
        <v>84</v>
      </c>
      <c r="B46" s="50">
        <v>1.2666244458517999</v>
      </c>
      <c r="C46" s="50">
        <v>2.9328474596972098</v>
      </c>
      <c r="D46" s="50">
        <v>0.14127622529227901</v>
      </c>
      <c r="E46" s="51">
        <v>5.7244186941021402</v>
      </c>
      <c r="F46" s="52">
        <v>1.8144439830325001</v>
      </c>
      <c r="G46" s="50">
        <v>0.90727174788228904</v>
      </c>
      <c r="H46" s="53">
        <v>1.2666244458517999</v>
      </c>
      <c r="I46" s="54">
        <v>143826130</v>
      </c>
      <c r="J46" s="53">
        <v>2023</v>
      </c>
      <c r="K46" s="55">
        <v>2021421476035.4199</v>
      </c>
      <c r="L46" s="50">
        <v>2023</v>
      </c>
      <c r="M46" s="55">
        <v>13817.0458984375</v>
      </c>
      <c r="N46" s="51">
        <v>2023</v>
      </c>
      <c r="O46" s="52">
        <v>6.6944589195761202</v>
      </c>
      <c r="P46" s="53">
        <v>2021</v>
      </c>
      <c r="Q46" s="56">
        <v>4.5999999999999996</v>
      </c>
      <c r="R46" s="51">
        <v>2021</v>
      </c>
      <c r="S46" s="54">
        <f t="shared" ref="S46:U46" si="54">(AC46*40)* 48</f>
        <v>5010517558.6819239</v>
      </c>
      <c r="T46" s="57">
        <f t="shared" si="54"/>
        <v>2505396179.6399097</v>
      </c>
      <c r="U46" s="58">
        <f t="shared" si="54"/>
        <v>7515913738.3218346</v>
      </c>
      <c r="V46" s="36">
        <f t="shared" si="1"/>
        <v>17.419617559339947</v>
      </c>
      <c r="W46" s="37">
        <f t="shared" si="2"/>
        <v>23048380769.936848</v>
      </c>
      <c r="X46" s="38">
        <f t="shared" si="3"/>
        <v>11524822426.343584</v>
      </c>
      <c r="Y46" s="39">
        <f t="shared" si="4"/>
        <v>34573203196.280434</v>
      </c>
      <c r="Z46" s="40">
        <f t="shared" si="5"/>
        <v>1.1402065844843625E-2</v>
      </c>
      <c r="AA46" s="41">
        <f t="shared" si="6"/>
        <v>5.7013455941642734E-3</v>
      </c>
      <c r="AB46" s="42">
        <f t="shared" si="7"/>
        <v>1.7103411439007898E-2</v>
      </c>
      <c r="AC46" s="59">
        <v>2609644.5618135021</v>
      </c>
      <c r="AD46" s="60">
        <v>1304893.8435624531</v>
      </c>
      <c r="AE46" s="60">
        <f t="shared" si="8"/>
        <v>3914538.4053759552</v>
      </c>
      <c r="AF46" s="45">
        <f t="shared" si="9"/>
        <v>0.66665447916658516</v>
      </c>
      <c r="AG46" s="46">
        <f t="shared" si="10"/>
        <v>0.33334552083341484</v>
      </c>
      <c r="AH46" s="47" t="s">
        <v>53</v>
      </c>
      <c r="AI46" s="48" t="s">
        <v>44</v>
      </c>
    </row>
    <row r="47" spans="1:35" ht="15.75" customHeight="1" x14ac:dyDescent="0.35">
      <c r="A47" s="49" t="s">
        <v>85</v>
      </c>
      <c r="B47" s="50"/>
      <c r="C47" s="50">
        <v>3.3580725430633498</v>
      </c>
      <c r="D47" s="50">
        <v>2.4487174382061498</v>
      </c>
      <c r="E47" s="51">
        <v>4.26742764792054</v>
      </c>
      <c r="F47" s="52">
        <v>2.2923672105592701</v>
      </c>
      <c r="G47" s="50">
        <v>1.0912087960469601</v>
      </c>
      <c r="H47" s="53">
        <v>3.3580725430633498</v>
      </c>
      <c r="I47" s="54">
        <v>6623183</v>
      </c>
      <c r="J47" s="53">
        <v>2023</v>
      </c>
      <c r="K47" s="55">
        <v>81342660752.373199</v>
      </c>
      <c r="L47" s="50">
        <v>2023</v>
      </c>
      <c r="M47" s="55">
        <v>12281.5058488303</v>
      </c>
      <c r="N47" s="51">
        <v>2023</v>
      </c>
      <c r="O47" s="52">
        <v>12.3719043552519</v>
      </c>
      <c r="P47" s="53">
        <v>2023</v>
      </c>
      <c r="Q47" s="56">
        <v>4.0999999999999996</v>
      </c>
      <c r="R47" s="51">
        <v>2018</v>
      </c>
      <c r="S47" s="54">
        <f t="shared" ref="S47:U47" si="55">(AC47*40)* 48</f>
        <v>291509136.74368477</v>
      </c>
      <c r="T47" s="57">
        <f t="shared" si="55"/>
        <v>138763690.51063091</v>
      </c>
      <c r="U47" s="58">
        <f t="shared" si="55"/>
        <v>430272827.25431567</v>
      </c>
      <c r="V47" s="36">
        <f t="shared" si="1"/>
        <v>20.951208884101632</v>
      </c>
      <c r="W47" s="37">
        <f t="shared" si="2"/>
        <v>1195187460.6491075</v>
      </c>
      <c r="X47" s="38">
        <f t="shared" si="3"/>
        <v>568931131.09358668</v>
      </c>
      <c r="Y47" s="39">
        <f t="shared" si="4"/>
        <v>1764118591.7426941</v>
      </c>
      <c r="Z47" s="40">
        <f t="shared" si="5"/>
        <v>1.4693242753486368E-2</v>
      </c>
      <c r="AA47" s="41">
        <f t="shared" si="6"/>
        <v>6.9942527799225938E-3</v>
      </c>
      <c r="AB47" s="42">
        <f t="shared" si="7"/>
        <v>2.168749553340896E-2</v>
      </c>
      <c r="AC47" s="59">
        <v>151827.6753873358</v>
      </c>
      <c r="AD47" s="60">
        <v>72272.755474286925</v>
      </c>
      <c r="AE47" s="60">
        <f t="shared" si="8"/>
        <v>224100.43086162274</v>
      </c>
      <c r="AF47" s="45">
        <f t="shared" si="9"/>
        <v>0.67749836447697942</v>
      </c>
      <c r="AG47" s="46">
        <f t="shared" si="10"/>
        <v>0.32250163552302058</v>
      </c>
      <c r="AH47" s="47" t="s">
        <v>53</v>
      </c>
      <c r="AI47" s="48" t="s">
        <v>44</v>
      </c>
    </row>
    <row r="48" spans="1:35" ht="15.75" customHeight="1" x14ac:dyDescent="0.35">
      <c r="A48" s="49" t="s">
        <v>86</v>
      </c>
      <c r="B48" s="50">
        <v>1.7</v>
      </c>
      <c r="C48" s="50">
        <v>3.29838128650464</v>
      </c>
      <c r="D48" s="50">
        <v>0.60510672140636601</v>
      </c>
      <c r="E48" s="51">
        <v>5.9916558516029204</v>
      </c>
      <c r="F48" s="52">
        <v>2.40851516439584</v>
      </c>
      <c r="G48" s="50">
        <v>0.77259264009802797</v>
      </c>
      <c r="H48" s="53">
        <v>1.7</v>
      </c>
      <c r="I48" s="54">
        <v>5426740</v>
      </c>
      <c r="J48" s="53">
        <v>2023</v>
      </c>
      <c r="K48" s="55">
        <v>132908336234.295</v>
      </c>
      <c r="L48" s="50">
        <v>2023</v>
      </c>
      <c r="M48" s="55">
        <v>24491.3771867262</v>
      </c>
      <c r="N48" s="51">
        <v>2023</v>
      </c>
      <c r="O48" s="52">
        <v>10.5319476645211</v>
      </c>
      <c r="P48" s="53">
        <v>2023</v>
      </c>
      <c r="Q48" s="56">
        <v>9.6</v>
      </c>
      <c r="R48" s="51">
        <v>2022</v>
      </c>
      <c r="S48" s="54">
        <f t="shared" ref="S48:U48" si="56">(AC48*40)* 48</f>
        <v>250951403.1980828</v>
      </c>
      <c r="T48" s="57">
        <f t="shared" si="56"/>
        <v>80499060.167530984</v>
      </c>
      <c r="U48" s="58">
        <f t="shared" si="56"/>
        <v>331450463.36561376</v>
      </c>
      <c r="V48" s="36">
        <f t="shared" si="1"/>
        <v>14.833778689882136</v>
      </c>
      <c r="W48" s="37">
        <f t="shared" si="2"/>
        <v>2409133470.7015948</v>
      </c>
      <c r="X48" s="38">
        <f t="shared" si="3"/>
        <v>772790977.60829747</v>
      </c>
      <c r="Y48" s="39">
        <f t="shared" si="4"/>
        <v>3181924448.3098922</v>
      </c>
      <c r="Z48" s="40">
        <f t="shared" si="5"/>
        <v>1.8126278147479767E-2</v>
      </c>
      <c r="AA48" s="41">
        <f t="shared" si="6"/>
        <v>5.814465815342066E-3</v>
      </c>
      <c r="AB48" s="42">
        <f t="shared" si="7"/>
        <v>2.3940743962821833E-2</v>
      </c>
      <c r="AC48" s="59">
        <v>130703.8558323348</v>
      </c>
      <c r="AD48" s="60">
        <v>41926.593837255721</v>
      </c>
      <c r="AE48" s="60">
        <f t="shared" si="8"/>
        <v>172630.44966959051</v>
      </c>
      <c r="AF48" s="45">
        <f t="shared" si="9"/>
        <v>0.75713094695923022</v>
      </c>
      <c r="AG48" s="46">
        <f t="shared" si="10"/>
        <v>0.24286905304076981</v>
      </c>
      <c r="AH48" s="47" t="s">
        <v>53</v>
      </c>
      <c r="AI48" s="61" t="s">
        <v>37</v>
      </c>
    </row>
    <row r="49" spans="1:35" ht="15.75" customHeight="1" x14ac:dyDescent="0.35">
      <c r="A49" s="49" t="s">
        <v>87</v>
      </c>
      <c r="B49" s="50">
        <v>6.8</v>
      </c>
      <c r="C49" s="50">
        <v>6.0608009667823097</v>
      </c>
      <c r="D49" s="50">
        <v>5.2374046106464798</v>
      </c>
      <c r="E49" s="51">
        <v>6.8841973229181397</v>
      </c>
      <c r="F49" s="52">
        <v>4.6130956318511798</v>
      </c>
      <c r="G49" s="50">
        <v>1.5986605556561799</v>
      </c>
      <c r="H49" s="53">
        <v>6.8</v>
      </c>
      <c r="I49" s="54">
        <v>2120461</v>
      </c>
      <c r="J49" s="53">
        <v>2023</v>
      </c>
      <c r="K49" s="55">
        <v>69148468417.320801</v>
      </c>
      <c r="L49" s="50">
        <v>2023</v>
      </c>
      <c r="M49" s="55">
        <v>32610.110922729</v>
      </c>
      <c r="N49" s="51">
        <v>2023</v>
      </c>
      <c r="O49" s="52">
        <v>7.4468771738583799</v>
      </c>
      <c r="P49" s="53">
        <v>2023</v>
      </c>
      <c r="Q49" s="56">
        <v>11.8</v>
      </c>
      <c r="R49" s="51">
        <v>2018</v>
      </c>
      <c r="S49" s="54">
        <f t="shared" ref="S49:U49" si="57">(AC49*40)* 48</f>
        <v>187812276.03092706</v>
      </c>
      <c r="T49" s="57">
        <f t="shared" si="57"/>
        <v>65086029.321739353</v>
      </c>
      <c r="U49" s="58">
        <f t="shared" si="57"/>
        <v>252898305.35266644</v>
      </c>
      <c r="V49" s="36">
        <f t="shared" si="1"/>
        <v>30.694282668598646</v>
      </c>
      <c r="W49" s="37">
        <f t="shared" si="2"/>
        <v>2216184857.1649394</v>
      </c>
      <c r="X49" s="38">
        <f t="shared" si="3"/>
        <v>768015145.99652445</v>
      </c>
      <c r="Y49" s="39">
        <f t="shared" si="4"/>
        <v>2984200003.1614637</v>
      </c>
      <c r="Z49" s="40">
        <f t="shared" si="5"/>
        <v>3.20496593473329E-2</v>
      </c>
      <c r="AA49" s="41">
        <f t="shared" si="6"/>
        <v>1.1106755703704735E-2</v>
      </c>
      <c r="AB49" s="42">
        <f t="shared" si="7"/>
        <v>4.3156415051037636E-2</v>
      </c>
      <c r="AC49" s="59">
        <v>97818.893766107853</v>
      </c>
      <c r="AD49" s="60">
        <v>33898.973605072577</v>
      </c>
      <c r="AE49" s="60">
        <f t="shared" si="8"/>
        <v>131717.86737118044</v>
      </c>
      <c r="AF49" s="45">
        <f t="shared" si="9"/>
        <v>0.74263951974301701</v>
      </c>
      <c r="AG49" s="46">
        <f t="shared" si="10"/>
        <v>0.25736048025698288</v>
      </c>
      <c r="AH49" s="47" t="s">
        <v>53</v>
      </c>
      <c r="AI49" s="48" t="s">
        <v>37</v>
      </c>
    </row>
    <row r="50" spans="1:35" ht="15.75" customHeight="1" x14ac:dyDescent="0.35">
      <c r="A50" s="49" t="s">
        <v>88</v>
      </c>
      <c r="B50" s="50">
        <v>8.1</v>
      </c>
      <c r="C50" s="50">
        <v>8.3306649553037904</v>
      </c>
      <c r="D50" s="50">
        <v>7.40201528571981</v>
      </c>
      <c r="E50" s="51">
        <v>9.2593146248877698</v>
      </c>
      <c r="F50" s="52">
        <v>6.6747031225025104</v>
      </c>
      <c r="G50" s="50">
        <v>2.2417034845288999</v>
      </c>
      <c r="H50" s="53">
        <v>8.1</v>
      </c>
      <c r="I50" s="54">
        <v>48347910</v>
      </c>
      <c r="J50" s="53">
        <v>2023</v>
      </c>
      <c r="K50" s="55">
        <v>1620090734956.8899</v>
      </c>
      <c r="L50" s="50">
        <v>2023</v>
      </c>
      <c r="M50" s="55">
        <v>33509.012798213902</v>
      </c>
      <c r="N50" s="51">
        <v>2023</v>
      </c>
      <c r="O50" s="52">
        <v>3.5323613349243299</v>
      </c>
      <c r="P50" s="53">
        <v>2023</v>
      </c>
      <c r="Q50" s="56">
        <v>20.100000000000001</v>
      </c>
      <c r="R50" s="51">
        <v>2021</v>
      </c>
      <c r="S50" s="54">
        <f t="shared" ref="S50:U50" si="58">(AC50*40)* 48</f>
        <v>6195992560.1946325</v>
      </c>
      <c r="T50" s="57">
        <f t="shared" si="58"/>
        <v>2080928223.6804407</v>
      </c>
      <c r="U50" s="58">
        <f t="shared" si="58"/>
        <v>8276920783.8750725</v>
      </c>
      <c r="V50" s="36">
        <f t="shared" si="1"/>
        <v>43.040706902954867</v>
      </c>
      <c r="W50" s="37">
        <f t="shared" si="2"/>
        <v>124539450459.91212</v>
      </c>
      <c r="X50" s="38">
        <f t="shared" si="3"/>
        <v>41826657295.97686</v>
      </c>
      <c r="Y50" s="39">
        <f t="shared" si="4"/>
        <v>166366107755.88898</v>
      </c>
      <c r="Z50" s="40">
        <f t="shared" si="5"/>
        <v>7.6871898451555606E-2</v>
      </c>
      <c r="AA50" s="41">
        <f t="shared" si="6"/>
        <v>2.581747823963073E-2</v>
      </c>
      <c r="AB50" s="42">
        <f t="shared" si="7"/>
        <v>0.10268937669118633</v>
      </c>
      <c r="AC50" s="59">
        <v>3227079.4584347042</v>
      </c>
      <c r="AD50" s="60">
        <v>1083816.7831668961</v>
      </c>
      <c r="AE50" s="60">
        <f t="shared" si="8"/>
        <v>4310896.2416016003</v>
      </c>
      <c r="AF50" s="45">
        <f t="shared" si="9"/>
        <v>0.74858666912283822</v>
      </c>
      <c r="AG50" s="46">
        <f t="shared" si="10"/>
        <v>0.25141333087716172</v>
      </c>
      <c r="AH50" s="47" t="s">
        <v>53</v>
      </c>
      <c r="AI50" s="48" t="s">
        <v>37</v>
      </c>
    </row>
    <row r="51" spans="1:35" ht="15.75" customHeight="1" x14ac:dyDescent="0.35">
      <c r="A51" s="49" t="s">
        <v>89</v>
      </c>
      <c r="B51" s="50">
        <v>13.4</v>
      </c>
      <c r="C51" s="50">
        <v>12.8523091938383</v>
      </c>
      <c r="D51" s="50">
        <v>11.8153603886129</v>
      </c>
      <c r="E51" s="51">
        <v>13.8892579990637</v>
      </c>
      <c r="F51" s="52">
        <v>7.4177987472117399</v>
      </c>
      <c r="G51" s="50">
        <v>5.8475829759907203</v>
      </c>
      <c r="H51" s="53">
        <v>13.4</v>
      </c>
      <c r="I51" s="54">
        <v>10536632</v>
      </c>
      <c r="J51" s="53">
        <v>2023</v>
      </c>
      <c r="K51" s="55">
        <v>584960475767.31995</v>
      </c>
      <c r="L51" s="50">
        <v>2023</v>
      </c>
      <c r="M51" s="55">
        <v>55516.836477473997</v>
      </c>
      <c r="N51" s="51">
        <v>2023</v>
      </c>
      <c r="O51" s="52">
        <v>8.5486248974890202</v>
      </c>
      <c r="P51" s="53">
        <v>2023</v>
      </c>
      <c r="Q51" s="56">
        <v>21.7</v>
      </c>
      <c r="R51" s="51">
        <v>2022</v>
      </c>
      <c r="S51" s="54">
        <f t="shared" ref="S51:U51" si="59">(AC51*40)* 48</f>
        <v>1500645420.4690776</v>
      </c>
      <c r="T51" s="57">
        <f t="shared" si="59"/>
        <v>1182985534.2235978</v>
      </c>
      <c r="U51" s="58">
        <f t="shared" si="59"/>
        <v>2683630954.6926756</v>
      </c>
      <c r="V51" s="36">
        <f t="shared" si="1"/>
        <v>112.27359313902183</v>
      </c>
      <c r="W51" s="37">
        <f t="shared" si="2"/>
        <v>32564005624.178982</v>
      </c>
      <c r="X51" s="38">
        <f t="shared" si="3"/>
        <v>25670786092.652069</v>
      </c>
      <c r="Y51" s="39">
        <f t="shared" si="4"/>
        <v>58234791716.831055</v>
      </c>
      <c r="Z51" s="40">
        <f t="shared" si="5"/>
        <v>5.5668728013569216E-2</v>
      </c>
      <c r="AA51" s="41">
        <f t="shared" si="6"/>
        <v>4.3884650597937412E-2</v>
      </c>
      <c r="AB51" s="42">
        <f t="shared" si="7"/>
        <v>9.9553378611506621E-2</v>
      </c>
      <c r="AC51" s="59">
        <v>781586.15649431129</v>
      </c>
      <c r="AD51" s="60">
        <v>616138.29907479056</v>
      </c>
      <c r="AE51" s="60">
        <f t="shared" si="8"/>
        <v>1397724.455569102</v>
      </c>
      <c r="AF51" s="45">
        <f t="shared" si="9"/>
        <v>0.55918471869055064</v>
      </c>
      <c r="AG51" s="46">
        <f t="shared" si="10"/>
        <v>0.4408152813094493</v>
      </c>
      <c r="AH51" s="47" t="s">
        <v>53</v>
      </c>
      <c r="AI51" s="48" t="s">
        <v>37</v>
      </c>
    </row>
    <row r="52" spans="1:35" ht="15.75" customHeight="1" x14ac:dyDescent="0.35">
      <c r="A52" s="49" t="s">
        <v>90</v>
      </c>
      <c r="B52" s="50">
        <v>7.2448551028979402</v>
      </c>
      <c r="C52" s="50">
        <v>9.1022244550143299</v>
      </c>
      <c r="D52" s="50">
        <v>6.40457760295818</v>
      </c>
      <c r="E52" s="51">
        <v>11.7998713070705</v>
      </c>
      <c r="F52" s="52">
        <v>5.8241235079392597</v>
      </c>
      <c r="G52" s="50">
        <v>3.5702484856066601</v>
      </c>
      <c r="H52" s="53">
        <v>7.2448551028979402</v>
      </c>
      <c r="I52" s="54">
        <v>8888093</v>
      </c>
      <c r="J52" s="53">
        <v>2023</v>
      </c>
      <c r="K52" s="55">
        <v>884940402230.40906</v>
      </c>
      <c r="L52" s="50">
        <v>2023</v>
      </c>
      <c r="M52" s="55">
        <v>99564.710026144996</v>
      </c>
      <c r="N52" s="51">
        <v>2023</v>
      </c>
      <c r="O52" s="52">
        <v>2.1354008801637701</v>
      </c>
      <c r="P52" s="53">
        <v>2023</v>
      </c>
      <c r="Q52" s="56">
        <v>49.802999999999997</v>
      </c>
      <c r="R52" s="51">
        <v>2023</v>
      </c>
      <c r="S52" s="54">
        <f t="shared" ref="S52:U52" si="60">(AC52*40)* 48</f>
        <v>993894746.53536725</v>
      </c>
      <c r="T52" s="57">
        <f t="shared" si="60"/>
        <v>609267851.0050782</v>
      </c>
      <c r="U52" s="58">
        <f t="shared" si="60"/>
        <v>1603162597.5404456</v>
      </c>
      <c r="V52" s="36">
        <f t="shared" si="1"/>
        <v>68.548770923647879</v>
      </c>
      <c r="W52" s="37">
        <f t="shared" si="2"/>
        <v>49498940061.70089</v>
      </c>
      <c r="X52" s="38">
        <f t="shared" si="3"/>
        <v>30343366783.605907</v>
      </c>
      <c r="Y52" s="39">
        <f t="shared" si="4"/>
        <v>79842306845.306793</v>
      </c>
      <c r="Z52" s="40">
        <f t="shared" si="5"/>
        <v>5.5934772485179189E-2</v>
      </c>
      <c r="AA52" s="41">
        <f t="shared" si="6"/>
        <v>3.4288599217674215E-2</v>
      </c>
      <c r="AB52" s="42">
        <f t="shared" si="7"/>
        <v>9.0223371702853411E-2</v>
      </c>
      <c r="AC52" s="59">
        <v>517653.51382050378</v>
      </c>
      <c r="AD52" s="60">
        <v>317327.00573181157</v>
      </c>
      <c r="AE52" s="60">
        <f t="shared" si="8"/>
        <v>834980.51955231535</v>
      </c>
      <c r="AF52" s="45">
        <f t="shared" si="9"/>
        <v>0.61995879149138688</v>
      </c>
      <c r="AG52" s="46">
        <f t="shared" si="10"/>
        <v>0.38004120850861312</v>
      </c>
      <c r="AH52" s="47" t="s">
        <v>53</v>
      </c>
      <c r="AI52" s="48" t="s">
        <v>37</v>
      </c>
    </row>
    <row r="53" spans="1:35" ht="15.75" customHeight="1" x14ac:dyDescent="0.35">
      <c r="A53" s="49" t="s">
        <v>91</v>
      </c>
      <c r="B53" s="50">
        <v>1.5678076822576399</v>
      </c>
      <c r="C53" s="50">
        <v>2.2361331739438302</v>
      </c>
      <c r="D53" s="50">
        <v>1.1538440731172499</v>
      </c>
      <c r="E53" s="51">
        <v>3.31842227477041</v>
      </c>
      <c r="F53" s="52">
        <v>1.83229275274513</v>
      </c>
      <c r="G53" s="50">
        <v>0.51640884996025604</v>
      </c>
      <c r="H53" s="53">
        <v>1.5678076822576399</v>
      </c>
      <c r="I53" s="54">
        <v>85325965</v>
      </c>
      <c r="J53" s="53">
        <v>2023</v>
      </c>
      <c r="K53" s="55">
        <v>1118252964260.77</v>
      </c>
      <c r="L53" s="50">
        <v>2023</v>
      </c>
      <c r="M53" s="55">
        <v>13105.658567831901</v>
      </c>
      <c r="N53" s="51">
        <v>2023</v>
      </c>
      <c r="O53" s="52">
        <v>53.859408759331501</v>
      </c>
      <c r="P53" s="53">
        <v>2023</v>
      </c>
      <c r="Q53" s="56">
        <v>3.7490000000000001</v>
      </c>
      <c r="R53" s="51">
        <v>2023</v>
      </c>
      <c r="S53" s="54">
        <f t="shared" ref="S53:U53" si="61">(AC53*40)* 48</f>
        <v>3001769227.9773045</v>
      </c>
      <c r="T53" s="57">
        <f t="shared" si="61"/>
        <v>846011202.38206196</v>
      </c>
      <c r="U53" s="58">
        <f t="shared" si="61"/>
        <v>3847780430.3593669</v>
      </c>
      <c r="V53" s="36">
        <f t="shared" si="1"/>
        <v>9.9150499192369157</v>
      </c>
      <c r="W53" s="37">
        <f t="shared" si="2"/>
        <v>11253632835.686914</v>
      </c>
      <c r="X53" s="38">
        <f t="shared" si="3"/>
        <v>3171695997.7303505</v>
      </c>
      <c r="Y53" s="39">
        <f t="shared" si="4"/>
        <v>14425328833.417265</v>
      </c>
      <c r="Z53" s="40">
        <f t="shared" si="5"/>
        <v>1.0063584175809645E-2</v>
      </c>
      <c r="AA53" s="41">
        <f t="shared" si="6"/>
        <v>2.836295631755401E-3</v>
      </c>
      <c r="AB53" s="42">
        <f t="shared" si="7"/>
        <v>1.2899879807565046E-2</v>
      </c>
      <c r="AC53" s="59">
        <v>1563421.4729048461</v>
      </c>
      <c r="AD53" s="60">
        <v>440630.83457399061</v>
      </c>
      <c r="AE53" s="60">
        <f t="shared" si="8"/>
        <v>2004052.3074788367</v>
      </c>
      <c r="AF53" s="45">
        <f t="shared" si="9"/>
        <v>0.78013007298780612</v>
      </c>
      <c r="AG53" s="46">
        <f t="shared" si="10"/>
        <v>0.21986992701219391</v>
      </c>
      <c r="AH53" s="47" t="s">
        <v>53</v>
      </c>
      <c r="AI53" s="48" t="s">
        <v>44</v>
      </c>
    </row>
    <row r="54" spans="1:35" ht="15.75" customHeight="1" x14ac:dyDescent="0.35">
      <c r="A54" s="49" t="s">
        <v>92</v>
      </c>
      <c r="B54" s="50"/>
      <c r="C54" s="50">
        <v>3.0661718662261399</v>
      </c>
      <c r="D54" s="50">
        <v>2.18422948262267</v>
      </c>
      <c r="E54" s="51">
        <v>3.94811424982962</v>
      </c>
      <c r="F54" s="52">
        <v>2.02718029129545</v>
      </c>
      <c r="G54" s="50">
        <v>0.84294259107657199</v>
      </c>
      <c r="H54" s="53">
        <v>3.0661718662261399</v>
      </c>
      <c r="I54" s="54">
        <v>37732836</v>
      </c>
      <c r="J54" s="53">
        <v>2023</v>
      </c>
      <c r="K54" s="55">
        <v>178757021965.008</v>
      </c>
      <c r="L54" s="50">
        <v>2023</v>
      </c>
      <c r="M54" s="55">
        <v>5069.703125</v>
      </c>
      <c r="N54" s="51">
        <v>2023</v>
      </c>
      <c r="O54" s="52">
        <v>12.8490222828559</v>
      </c>
      <c r="P54" s="53">
        <v>2023</v>
      </c>
      <c r="Q54" s="56">
        <v>1.23</v>
      </c>
      <c r="R54" s="51">
        <v>2016</v>
      </c>
      <c r="S54" s="54">
        <f t="shared" ref="S54:U54" si="62">(AC54*40)* 48</f>
        <v>1468632220.2985618</v>
      </c>
      <c r="T54" s="57">
        <f t="shared" si="62"/>
        <v>610686999.29294133</v>
      </c>
      <c r="U54" s="58">
        <f t="shared" si="62"/>
        <v>2079319219.5915034</v>
      </c>
      <c r="V54" s="36">
        <f t="shared" si="1"/>
        <v>16.184497748670186</v>
      </c>
      <c r="W54" s="37">
        <f t="shared" si="2"/>
        <v>1806417630.967231</v>
      </c>
      <c r="X54" s="38">
        <f t="shared" si="3"/>
        <v>751145009.13031781</v>
      </c>
      <c r="Y54" s="39">
        <f t="shared" si="4"/>
        <v>2557562640.097549</v>
      </c>
      <c r="Z54" s="40">
        <f t="shared" si="5"/>
        <v>1.0105435921397486E-2</v>
      </c>
      <c r="AA54" s="41">
        <f t="shared" si="6"/>
        <v>4.2020447693369815E-3</v>
      </c>
      <c r="AB54" s="42">
        <f t="shared" si="7"/>
        <v>1.4307480690734467E-2</v>
      </c>
      <c r="AC54" s="59">
        <v>764912.61473883432</v>
      </c>
      <c r="AD54" s="60">
        <v>318066.14546507358</v>
      </c>
      <c r="AE54" s="60">
        <f t="shared" si="8"/>
        <v>1082978.760203908</v>
      </c>
      <c r="AF54" s="45">
        <f t="shared" si="9"/>
        <v>0.70630435503168432</v>
      </c>
      <c r="AG54" s="46">
        <f t="shared" si="10"/>
        <v>0.29369564496831563</v>
      </c>
      <c r="AH54" s="47" t="s">
        <v>53</v>
      </c>
      <c r="AI54" s="48" t="s">
        <v>39</v>
      </c>
    </row>
    <row r="55" spans="1:35" ht="15.75" customHeight="1" x14ac:dyDescent="0.35">
      <c r="A55" s="49" t="s">
        <v>93</v>
      </c>
      <c r="B55" s="50">
        <v>11.1</v>
      </c>
      <c r="C55" s="50">
        <v>11.5391923292306</v>
      </c>
      <c r="D55" s="50">
        <v>10.567377217753601</v>
      </c>
      <c r="E55" s="51">
        <v>12.5110074407075</v>
      </c>
      <c r="F55" s="52">
        <v>7.5020755317618999</v>
      </c>
      <c r="G55" s="50">
        <v>4.0738184629117304</v>
      </c>
      <c r="H55" s="53">
        <v>11.1</v>
      </c>
      <c r="I55" s="54">
        <v>68350000</v>
      </c>
      <c r="J55" s="53">
        <v>2023</v>
      </c>
      <c r="K55" s="55">
        <v>3380854520809.54</v>
      </c>
      <c r="L55" s="50">
        <v>2023</v>
      </c>
      <c r="M55" s="55">
        <v>49463.855461734303</v>
      </c>
      <c r="N55" s="51">
        <v>2023</v>
      </c>
      <c r="O55" s="52">
        <v>6.7939670679396302</v>
      </c>
      <c r="P55" s="53">
        <v>2023</v>
      </c>
      <c r="Q55" s="56">
        <v>21.288</v>
      </c>
      <c r="R55" s="51">
        <v>2023</v>
      </c>
      <c r="S55" s="54">
        <f t="shared" ref="S55:U55" si="63">(AC55*40)* 48</f>
        <v>9845123761.8417778</v>
      </c>
      <c r="T55" s="57">
        <f t="shared" si="63"/>
        <v>5346153445.2483234</v>
      </c>
      <c r="U55" s="58">
        <f t="shared" si="63"/>
        <v>15191277207.090099</v>
      </c>
      <c r="V55" s="36">
        <f t="shared" si="1"/>
        <v>78.217314487905242</v>
      </c>
      <c r="W55" s="37">
        <f t="shared" si="2"/>
        <v>209582994642.08777</v>
      </c>
      <c r="X55" s="38">
        <f t="shared" si="3"/>
        <v>113808914542.4463</v>
      </c>
      <c r="Y55" s="39">
        <f t="shared" si="4"/>
        <v>323391909184.53406</v>
      </c>
      <c r="Z55" s="40">
        <f t="shared" si="5"/>
        <v>6.1991130748773972E-2</v>
      </c>
      <c r="AA55" s="41">
        <f t="shared" si="6"/>
        <v>3.3662765978819745E-2</v>
      </c>
      <c r="AB55" s="42">
        <f t="shared" si="7"/>
        <v>9.5653896727593724E-2</v>
      </c>
      <c r="AC55" s="59">
        <v>5127668.6259592595</v>
      </c>
      <c r="AD55" s="60">
        <v>2784454.9194001681</v>
      </c>
      <c r="AE55" s="60">
        <f t="shared" si="8"/>
        <v>7912123.5453594271</v>
      </c>
      <c r="AF55" s="45">
        <f t="shared" si="9"/>
        <v>0.64807742151178993</v>
      </c>
      <c r="AG55" s="46">
        <f t="shared" si="10"/>
        <v>0.35192257848821007</v>
      </c>
      <c r="AH55" s="47" t="s">
        <v>53</v>
      </c>
      <c r="AI55" s="48" t="s">
        <v>37</v>
      </c>
    </row>
    <row r="56" spans="1:35" ht="15.75" customHeight="1" x14ac:dyDescent="0.35">
      <c r="A56" s="49" t="s">
        <v>94</v>
      </c>
      <c r="B56" s="50"/>
      <c r="C56" s="50">
        <v>4.6083031530924501</v>
      </c>
      <c r="D56" s="50">
        <v>3.3326833704810599</v>
      </c>
      <c r="E56" s="51">
        <v>5.8839229357038301</v>
      </c>
      <c r="F56" s="52">
        <v>2.9421730677889899</v>
      </c>
      <c r="G56" s="50">
        <v>1.3800489941467999</v>
      </c>
      <c r="H56" s="53">
        <v>4.6083031530924501</v>
      </c>
      <c r="I56" s="54">
        <v>35652307</v>
      </c>
      <c r="J56" s="53">
        <v>2023</v>
      </c>
      <c r="K56" s="55">
        <v>101591769702.343</v>
      </c>
      <c r="L56" s="50">
        <v>2023</v>
      </c>
      <c r="M56" s="55">
        <v>2849.5146107191099</v>
      </c>
      <c r="N56" s="51">
        <v>2023</v>
      </c>
      <c r="O56" s="52">
        <v>11.446643699883399</v>
      </c>
      <c r="P56" s="53">
        <v>2022</v>
      </c>
      <c r="Q56" s="56">
        <v>2.6</v>
      </c>
      <c r="R56" s="51">
        <v>2022</v>
      </c>
      <c r="S56" s="54">
        <f t="shared" ref="S56:U56" si="64">(AC56*40)* 48</f>
        <v>2013988943.230942</v>
      </c>
      <c r="T56" s="57">
        <f t="shared" si="64"/>
        <v>944677063.95576811</v>
      </c>
      <c r="U56" s="58">
        <f t="shared" si="64"/>
        <v>2958666007.1867104</v>
      </c>
      <c r="V56" s="36">
        <f t="shared" si="1"/>
        <v>26.496940687618562</v>
      </c>
      <c r="W56" s="37">
        <f t="shared" si="2"/>
        <v>5236371252.4004498</v>
      </c>
      <c r="X56" s="38">
        <f t="shared" si="3"/>
        <v>2456160366.284997</v>
      </c>
      <c r="Y56" s="39">
        <f t="shared" si="4"/>
        <v>7692531618.6854467</v>
      </c>
      <c r="Z56" s="40">
        <f t="shared" si="5"/>
        <v>5.1543262488119489E-2</v>
      </c>
      <c r="AA56" s="41">
        <f t="shared" si="6"/>
        <v>2.4176765238772591E-2</v>
      </c>
      <c r="AB56" s="42">
        <f t="shared" si="7"/>
        <v>7.5720027726892083E-2</v>
      </c>
      <c r="AC56" s="59">
        <v>1048952.5745994491</v>
      </c>
      <c r="AD56" s="60">
        <v>492019.30414362921</v>
      </c>
      <c r="AE56" s="60">
        <f t="shared" si="8"/>
        <v>1540971.8787430783</v>
      </c>
      <c r="AF56" s="45">
        <f t="shared" si="9"/>
        <v>0.68070844709706591</v>
      </c>
      <c r="AG56" s="46">
        <f t="shared" si="10"/>
        <v>0.31929155290293404</v>
      </c>
      <c r="AH56" s="47" t="s">
        <v>53</v>
      </c>
      <c r="AI56" s="48" t="s">
        <v>39</v>
      </c>
    </row>
    <row r="57" spans="1:35" ht="15.75" customHeight="1" x14ac:dyDescent="0.35">
      <c r="A57" s="49" t="s">
        <v>95</v>
      </c>
      <c r="B57" s="50">
        <v>6.4577665196860297</v>
      </c>
      <c r="C57" s="50">
        <v>6.9977030245706704</v>
      </c>
      <c r="D57" s="50">
        <v>6.0908381822082598</v>
      </c>
      <c r="E57" s="51">
        <v>7.9045678669330899</v>
      </c>
      <c r="F57" s="52">
        <v>4.4515753823564603</v>
      </c>
      <c r="G57" s="50">
        <v>2.63269706147508</v>
      </c>
      <c r="H57" s="53">
        <v>6.4577665196860297</v>
      </c>
      <c r="I57" s="54">
        <v>45538401</v>
      </c>
      <c r="J57" s="53">
        <v>2023</v>
      </c>
      <c r="K57" s="55">
        <v>646075277525.125</v>
      </c>
      <c r="L57" s="50">
        <v>2023</v>
      </c>
      <c r="M57" s="55">
        <v>14187.482725296501</v>
      </c>
      <c r="N57" s="51">
        <v>2023</v>
      </c>
      <c r="O57" s="52"/>
      <c r="P57" s="53"/>
      <c r="Q57" s="56">
        <v>4.2729999999999997</v>
      </c>
      <c r="R57" s="51">
        <v>2023</v>
      </c>
      <c r="S57" s="54">
        <f t="shared" ref="S57:U57" si="65">(AC57*40)* 48</f>
        <v>3892178396.9947543</v>
      </c>
      <c r="T57" s="57">
        <f t="shared" si="65"/>
        <v>2301865238.3418989</v>
      </c>
      <c r="U57" s="58">
        <f t="shared" si="65"/>
        <v>6194043635.3366528</v>
      </c>
      <c r="V57" s="36">
        <f t="shared" si="1"/>
        <v>50.547783580321557</v>
      </c>
      <c r="W57" s="37">
        <f t="shared" si="2"/>
        <v>16631278290.358583</v>
      </c>
      <c r="X57" s="38">
        <f t="shared" si="3"/>
        <v>9835870163.4349327</v>
      </c>
      <c r="Y57" s="39">
        <f t="shared" si="4"/>
        <v>26467148453.793518</v>
      </c>
      <c r="Z57" s="40">
        <f t="shared" si="5"/>
        <v>2.5742013150645306E-2</v>
      </c>
      <c r="AA57" s="41">
        <f t="shared" si="6"/>
        <v>1.522403117034985E-2</v>
      </c>
      <c r="AB57" s="42">
        <f t="shared" si="7"/>
        <v>4.0966044320995154E-2</v>
      </c>
      <c r="AC57" s="59">
        <v>2027176.2484347681</v>
      </c>
      <c r="AD57" s="60">
        <v>1198888.144969739</v>
      </c>
      <c r="AE57" s="60">
        <f t="shared" si="8"/>
        <v>3226064.3934045071</v>
      </c>
      <c r="AF57" s="45">
        <f t="shared" si="9"/>
        <v>0.62837439096975467</v>
      </c>
      <c r="AG57" s="46">
        <f t="shared" si="10"/>
        <v>0.37162560903024539</v>
      </c>
      <c r="AH57" s="47" t="s">
        <v>96</v>
      </c>
      <c r="AI57" s="48" t="s">
        <v>44</v>
      </c>
    </row>
    <row r="58" spans="1:35" ht="15.75" customHeight="1" x14ac:dyDescent="0.35">
      <c r="A58" s="49" t="s">
        <v>97</v>
      </c>
      <c r="B58" s="50"/>
      <c r="C58" s="50">
        <v>2.5594576667517002</v>
      </c>
      <c r="D58" s="50">
        <v>1.7156866958129799</v>
      </c>
      <c r="E58" s="51">
        <v>3.4032286376904199</v>
      </c>
      <c r="F58" s="52">
        <v>1.4271381873486599</v>
      </c>
      <c r="G58" s="50">
        <v>1.1333986622029799</v>
      </c>
      <c r="H58" s="53">
        <v>2.5594576667517002</v>
      </c>
      <c r="I58" s="54">
        <v>12244159</v>
      </c>
      <c r="J58" s="53">
        <v>2023</v>
      </c>
      <c r="K58" s="55">
        <v>45135398008.816597</v>
      </c>
      <c r="L58" s="50">
        <v>2023</v>
      </c>
      <c r="M58" s="55">
        <v>3686.27996490544</v>
      </c>
      <c r="N58" s="51">
        <v>2023</v>
      </c>
      <c r="O58" s="52">
        <v>2.57688800489192</v>
      </c>
      <c r="P58" s="53">
        <v>2023</v>
      </c>
      <c r="Q58" s="56">
        <v>3.3889999999999998</v>
      </c>
      <c r="R58" s="51">
        <v>2023</v>
      </c>
      <c r="S58" s="54">
        <f t="shared" ref="S58:U58" si="66">(AC58*40)* 48</f>
        <v>335502852.11268055</v>
      </c>
      <c r="T58" s="57">
        <f t="shared" si="66"/>
        <v>266448257.86369112</v>
      </c>
      <c r="U58" s="58">
        <f t="shared" si="66"/>
        <v>601951109.97637177</v>
      </c>
      <c r="V58" s="36">
        <f t="shared" si="1"/>
        <v>21.761254314297219</v>
      </c>
      <c r="W58" s="37">
        <f t="shared" si="2"/>
        <v>1137019165.8098743</v>
      </c>
      <c r="X58" s="38">
        <f t="shared" si="3"/>
        <v>902993145.90004921</v>
      </c>
      <c r="Y58" s="39">
        <f t="shared" si="4"/>
        <v>2040012311.7099235</v>
      </c>
      <c r="Z58" s="40">
        <f t="shared" si="5"/>
        <v>2.5191295877966396E-2</v>
      </c>
      <c r="AA58" s="41">
        <f t="shared" si="6"/>
        <v>2.0006318449294753E-2</v>
      </c>
      <c r="AB58" s="42">
        <f t="shared" si="7"/>
        <v>4.5197614327261146E-2</v>
      </c>
      <c r="AC58" s="59">
        <v>174741.06880868779</v>
      </c>
      <c r="AD58" s="60">
        <v>138775.1343040058</v>
      </c>
      <c r="AE58" s="60">
        <f t="shared" si="8"/>
        <v>313516.20311269362</v>
      </c>
      <c r="AF58" s="45">
        <f t="shared" si="9"/>
        <v>0.55735897243523647</v>
      </c>
      <c r="AG58" s="46">
        <f t="shared" si="10"/>
        <v>0.44264102756476348</v>
      </c>
      <c r="AH58" s="47" t="s">
        <v>96</v>
      </c>
      <c r="AI58" s="48" t="s">
        <v>39</v>
      </c>
    </row>
    <row r="59" spans="1:35" ht="15.75" customHeight="1" x14ac:dyDescent="0.35">
      <c r="A59" s="49" t="s">
        <v>98</v>
      </c>
      <c r="B59" s="50">
        <v>3.6916468100815498</v>
      </c>
      <c r="C59" s="50">
        <v>4.2419129208822</v>
      </c>
      <c r="D59" s="50">
        <v>3.2223574052805501</v>
      </c>
      <c r="E59" s="51">
        <v>5.2614684364838498</v>
      </c>
      <c r="F59" s="52">
        <v>2.87961423413797</v>
      </c>
      <c r="G59" s="50">
        <v>1.13581427968324</v>
      </c>
      <c r="H59" s="53">
        <v>3.6916468100815498</v>
      </c>
      <c r="I59" s="54">
        <v>211140729</v>
      </c>
      <c r="J59" s="53">
        <v>2023</v>
      </c>
      <c r="K59" s="55">
        <v>2173665655937.27</v>
      </c>
      <c r="L59" s="50">
        <v>2023</v>
      </c>
      <c r="M59" s="55">
        <v>10294.866680777999</v>
      </c>
      <c r="N59" s="51">
        <v>2023</v>
      </c>
      <c r="O59" s="52">
        <v>4.5935628228320402</v>
      </c>
      <c r="P59" s="53">
        <v>2023</v>
      </c>
      <c r="Q59" s="56">
        <v>3.5609999999999999</v>
      </c>
      <c r="R59" s="51">
        <v>2023</v>
      </c>
      <c r="S59" s="54">
        <f t="shared" ref="S59:U59" si="67">(AC59*40)* 48</f>
        <v>11673673893.78562</v>
      </c>
      <c r="T59" s="57">
        <f t="shared" si="67"/>
        <v>4604479776.4018402</v>
      </c>
      <c r="U59" s="58">
        <f t="shared" si="67"/>
        <v>16278153670.187458</v>
      </c>
      <c r="V59" s="36">
        <f t="shared" si="1"/>
        <v>21.807634169918206</v>
      </c>
      <c r="W59" s="37">
        <f t="shared" si="2"/>
        <v>41569952735.770592</v>
      </c>
      <c r="X59" s="38">
        <f t="shared" si="3"/>
        <v>16396552483.766953</v>
      </c>
      <c r="Y59" s="39">
        <f t="shared" si="4"/>
        <v>57966505219.537544</v>
      </c>
      <c r="Z59" s="40">
        <f t="shared" si="5"/>
        <v>1.9124354576898307E-2</v>
      </c>
      <c r="AA59" s="41">
        <f t="shared" si="6"/>
        <v>7.5432725538909385E-3</v>
      </c>
      <c r="AB59" s="42">
        <f t="shared" si="7"/>
        <v>2.6667627130789247E-2</v>
      </c>
      <c r="AC59" s="59">
        <v>6080038.4863466769</v>
      </c>
      <c r="AD59" s="60">
        <v>2398166.5502092922</v>
      </c>
      <c r="AE59" s="60">
        <f t="shared" si="8"/>
        <v>8478205.0365559682</v>
      </c>
      <c r="AF59" s="45">
        <f t="shared" si="9"/>
        <v>0.71713746720337879</v>
      </c>
      <c r="AG59" s="46">
        <f t="shared" si="10"/>
        <v>0.28286253279662127</v>
      </c>
      <c r="AH59" s="62" t="s">
        <v>96</v>
      </c>
      <c r="AI59" s="63" t="s">
        <v>44</v>
      </c>
    </row>
    <row r="60" spans="1:35" ht="15.75" customHeight="1" x14ac:dyDescent="0.35">
      <c r="A60" s="49" t="s">
        <v>99</v>
      </c>
      <c r="B60" s="50">
        <v>5.4032441077623004</v>
      </c>
      <c r="C60" s="50">
        <v>5.1975069097163198</v>
      </c>
      <c r="D60" s="50">
        <v>4.3512310050227896</v>
      </c>
      <c r="E60" s="51">
        <v>6.0437828144098402</v>
      </c>
      <c r="F60" s="52">
        <v>2.9472281886040301</v>
      </c>
      <c r="G60" s="50">
        <v>2.2407799680060401</v>
      </c>
      <c r="H60" s="53">
        <v>5.4032441077623004</v>
      </c>
      <c r="I60" s="54">
        <v>19658835</v>
      </c>
      <c r="J60" s="53">
        <v>2023</v>
      </c>
      <c r="K60" s="55">
        <v>335533331669.21899</v>
      </c>
      <c r="L60" s="50">
        <v>2023</v>
      </c>
      <c r="M60" s="55">
        <v>17067.813615060099</v>
      </c>
      <c r="N60" s="51">
        <v>2023</v>
      </c>
      <c r="O60" s="52">
        <v>7.5816825140796897</v>
      </c>
      <c r="P60" s="53">
        <v>2023</v>
      </c>
      <c r="Q60" s="56">
        <v>6.2560000000000002</v>
      </c>
      <c r="R60" s="51">
        <v>2023</v>
      </c>
      <c r="S60" s="54">
        <f t="shared" ref="S60:U60" si="68">(AC60*40)* 48</f>
        <v>1112430195.2086177</v>
      </c>
      <c r="T60" s="57">
        <f t="shared" si="68"/>
        <v>845781574.31685162</v>
      </c>
      <c r="U60" s="58">
        <f t="shared" si="68"/>
        <v>1958211769.5254693</v>
      </c>
      <c r="V60" s="36">
        <f t="shared" si="1"/>
        <v>43.022975385715974</v>
      </c>
      <c r="W60" s="37">
        <f t="shared" si="2"/>
        <v>6959363301.2251129</v>
      </c>
      <c r="X60" s="38">
        <f t="shared" si="3"/>
        <v>5291209528.9262238</v>
      </c>
      <c r="Y60" s="39">
        <f t="shared" si="4"/>
        <v>12250572830.151337</v>
      </c>
      <c r="Z60" s="40">
        <f t="shared" si="5"/>
        <v>2.0741198099764071E-2</v>
      </c>
      <c r="AA60" s="41">
        <f t="shared" si="6"/>
        <v>1.576954963789556E-2</v>
      </c>
      <c r="AB60" s="42">
        <f t="shared" si="7"/>
        <v>3.6510747737659631E-2</v>
      </c>
      <c r="AC60" s="59">
        <v>579390.72667115508</v>
      </c>
      <c r="AD60" s="60">
        <v>440511.23662336019</v>
      </c>
      <c r="AE60" s="60">
        <f t="shared" si="8"/>
        <v>1019901.9632945153</v>
      </c>
      <c r="AF60" s="45">
        <f t="shared" si="9"/>
        <v>0.56808472531966825</v>
      </c>
      <c r="AG60" s="46">
        <f t="shared" si="10"/>
        <v>0.43191527468033175</v>
      </c>
      <c r="AH60" s="47" t="s">
        <v>96</v>
      </c>
      <c r="AI60" s="61" t="s">
        <v>37</v>
      </c>
    </row>
    <row r="61" spans="1:35" ht="15.75" customHeight="1" x14ac:dyDescent="0.35">
      <c r="A61" s="49" t="s">
        <v>100</v>
      </c>
      <c r="B61" s="50">
        <v>2.55905292789034</v>
      </c>
      <c r="C61" s="50">
        <v>3.7546893636532901</v>
      </c>
      <c r="D61" s="50">
        <v>1.34961836018753</v>
      </c>
      <c r="E61" s="51">
        <v>6.1597603671190404</v>
      </c>
      <c r="F61" s="52">
        <v>2.60371256672259</v>
      </c>
      <c r="G61" s="50">
        <v>1.23968944529192</v>
      </c>
      <c r="H61" s="53">
        <v>2.55905292789034</v>
      </c>
      <c r="I61" s="54">
        <v>52321152</v>
      </c>
      <c r="J61" s="53">
        <v>2023</v>
      </c>
      <c r="K61" s="55">
        <v>363493841244.30298</v>
      </c>
      <c r="L61" s="50">
        <v>2023</v>
      </c>
      <c r="M61" s="55">
        <v>6947.3592868196602</v>
      </c>
      <c r="N61" s="51">
        <v>2023</v>
      </c>
      <c r="O61" s="52">
        <v>11.735904494868899</v>
      </c>
      <c r="P61" s="53">
        <v>2023</v>
      </c>
      <c r="Q61" s="56">
        <v>2.048</v>
      </c>
      <c r="R61" s="51">
        <v>2023</v>
      </c>
      <c r="S61" s="54">
        <f t="shared" ref="S61:U61" si="69">(AC61*40)* 48</f>
        <v>2615601426.5818138</v>
      </c>
      <c r="T61" s="57">
        <f t="shared" si="69"/>
        <v>1245350014.0783534</v>
      </c>
      <c r="U61" s="58">
        <f t="shared" si="69"/>
        <v>3860951440.6601672</v>
      </c>
      <c r="V61" s="36">
        <f t="shared" si="1"/>
        <v>23.802037349604866</v>
      </c>
      <c r="W61" s="37">
        <f t="shared" si="2"/>
        <v>5356751721.639555</v>
      </c>
      <c r="X61" s="38">
        <f t="shared" si="3"/>
        <v>2550476828.832468</v>
      </c>
      <c r="Y61" s="39">
        <f t="shared" si="4"/>
        <v>7907228550.472023</v>
      </c>
      <c r="Z61" s="40">
        <f t="shared" si="5"/>
        <v>1.4736843142382983E-2</v>
      </c>
      <c r="AA61" s="41">
        <f t="shared" si="6"/>
        <v>7.0165613263260245E-3</v>
      </c>
      <c r="AB61" s="42">
        <f t="shared" si="7"/>
        <v>2.1753404468709006E-2</v>
      </c>
      <c r="AC61" s="59">
        <v>1362292.409678028</v>
      </c>
      <c r="AD61" s="60">
        <v>648619.79899914237</v>
      </c>
      <c r="AE61" s="60">
        <f t="shared" si="8"/>
        <v>2010912.2086771703</v>
      </c>
      <c r="AF61" s="45">
        <f t="shared" si="9"/>
        <v>0.67744996713415895</v>
      </c>
      <c r="AG61" s="46">
        <f t="shared" si="10"/>
        <v>0.32255003286584111</v>
      </c>
      <c r="AH61" s="47" t="s">
        <v>96</v>
      </c>
      <c r="AI61" s="61" t="s">
        <v>44</v>
      </c>
    </row>
    <row r="62" spans="1:35" ht="15.75" customHeight="1" x14ac:dyDescent="0.35">
      <c r="A62" s="49" t="s">
        <v>101</v>
      </c>
      <c r="B62" s="50"/>
      <c r="C62" s="50">
        <v>5.52786797089591</v>
      </c>
      <c r="D62" s="50">
        <v>4.2468366905181902</v>
      </c>
      <c r="E62" s="51">
        <v>6.8088992512736199</v>
      </c>
      <c r="F62" s="52">
        <v>3.4415174431587801</v>
      </c>
      <c r="G62" s="50">
        <v>2.3195763398753901</v>
      </c>
      <c r="H62" s="53">
        <v>5.52786797089591</v>
      </c>
      <c r="I62" s="54">
        <v>5105525</v>
      </c>
      <c r="J62" s="53">
        <v>2023</v>
      </c>
      <c r="K62" s="55">
        <v>86497941439.017395</v>
      </c>
      <c r="L62" s="50">
        <v>2023</v>
      </c>
      <c r="M62" s="55">
        <v>16942.0268119375</v>
      </c>
      <c r="N62" s="51">
        <v>2023</v>
      </c>
      <c r="O62" s="52">
        <v>0.52519350869345505</v>
      </c>
      <c r="P62" s="53">
        <v>2023</v>
      </c>
      <c r="Q62" s="56">
        <v>4.87</v>
      </c>
      <c r="R62" s="51">
        <v>2022</v>
      </c>
      <c r="S62" s="54">
        <f t="shared" ref="S62:U62" si="70">(AC62*40)* 48</f>
        <v>337358464.20447803</v>
      </c>
      <c r="T62" s="57">
        <f t="shared" si="70"/>
        <v>227378975.85873216</v>
      </c>
      <c r="U62" s="58">
        <f t="shared" si="70"/>
        <v>564737440.06321013</v>
      </c>
      <c r="V62" s="36">
        <f t="shared" si="1"/>
        <v>44.535865725607486</v>
      </c>
      <c r="W62" s="37">
        <f t="shared" si="2"/>
        <v>1642935720.675808</v>
      </c>
      <c r="X62" s="38">
        <f t="shared" si="3"/>
        <v>1107335612.4320257</v>
      </c>
      <c r="Y62" s="39">
        <f t="shared" si="4"/>
        <v>2750271333.1078339</v>
      </c>
      <c r="Z62" s="40">
        <f t="shared" si="5"/>
        <v>1.8993928564578696E-2</v>
      </c>
      <c r="AA62" s="41">
        <f t="shared" si="6"/>
        <v>1.2801872437770293E-2</v>
      </c>
      <c r="AB62" s="42">
        <f t="shared" si="7"/>
        <v>3.1795801002348988E-2</v>
      </c>
      <c r="AC62" s="59">
        <v>175707.5334398323</v>
      </c>
      <c r="AD62" s="60">
        <v>118426.549926423</v>
      </c>
      <c r="AE62" s="60">
        <f t="shared" si="8"/>
        <v>294134.08336625528</v>
      </c>
      <c r="AF62" s="45">
        <f t="shared" si="9"/>
        <v>0.59737223047708343</v>
      </c>
      <c r="AG62" s="46">
        <f t="shared" si="10"/>
        <v>0.40262776952291673</v>
      </c>
      <c r="AH62" s="47" t="s">
        <v>96</v>
      </c>
      <c r="AI62" s="61" t="s">
        <v>44</v>
      </c>
    </row>
    <row r="63" spans="1:35" ht="15.75" customHeight="1" x14ac:dyDescent="0.35">
      <c r="A63" s="49" t="s">
        <v>102</v>
      </c>
      <c r="B63" s="50"/>
      <c r="C63" s="50">
        <v>5.7268080117779103</v>
      </c>
      <c r="D63" s="50">
        <v>4.97579177698886</v>
      </c>
      <c r="E63" s="51">
        <v>6.4778242465669704</v>
      </c>
      <c r="F63" s="52">
        <v>3.6947224984873199</v>
      </c>
      <c r="G63" s="50">
        <v>1.8252334216356201</v>
      </c>
      <c r="H63" s="53">
        <v>5.7268080117779103</v>
      </c>
      <c r="I63" s="54">
        <v>11331265</v>
      </c>
      <c r="J63" s="53">
        <v>2023</v>
      </c>
      <c r="K63" s="55">
        <v>121444279313.931</v>
      </c>
      <c r="L63" s="50">
        <v>2023</v>
      </c>
      <c r="M63" s="55">
        <v>10717.6276712204</v>
      </c>
      <c r="N63" s="51">
        <v>2023</v>
      </c>
      <c r="O63" s="52">
        <v>4.78561281021135</v>
      </c>
      <c r="P63" s="53">
        <v>2023</v>
      </c>
      <c r="Q63" s="56">
        <v>2.7309999999999999</v>
      </c>
      <c r="R63" s="51">
        <v>2023</v>
      </c>
      <c r="S63" s="54">
        <f t="shared" ref="S63:U63" si="71">(AC63*40)* 48</f>
        <v>803824890.85098088</v>
      </c>
      <c r="T63" s="57">
        <f t="shared" si="71"/>
        <v>397098308.87827104</v>
      </c>
      <c r="U63" s="58">
        <f t="shared" si="71"/>
        <v>1200923199.7292519</v>
      </c>
      <c r="V63" s="36">
        <f t="shared" si="1"/>
        <v>35.044481695403917</v>
      </c>
      <c r="W63" s="37">
        <f t="shared" si="2"/>
        <v>2195245776.9140286</v>
      </c>
      <c r="X63" s="38">
        <f t="shared" si="3"/>
        <v>1084475481.5465581</v>
      </c>
      <c r="Y63" s="39">
        <f t="shared" si="4"/>
        <v>3279721258.4605865</v>
      </c>
      <c r="Z63" s="40">
        <f t="shared" si="5"/>
        <v>1.8076156318893893E-2</v>
      </c>
      <c r="AA63" s="41">
        <f t="shared" si="6"/>
        <v>8.9298194009057516E-3</v>
      </c>
      <c r="AB63" s="42">
        <f t="shared" si="7"/>
        <v>2.7005975719799645E-2</v>
      </c>
      <c r="AC63" s="59">
        <v>418658.79731821921</v>
      </c>
      <c r="AD63" s="60">
        <v>206822.0358740995</v>
      </c>
      <c r="AE63" s="60">
        <f t="shared" si="8"/>
        <v>625480.83319231868</v>
      </c>
      <c r="AF63" s="45">
        <f t="shared" si="9"/>
        <v>0.66933913095542097</v>
      </c>
      <c r="AG63" s="46">
        <f t="shared" si="10"/>
        <v>0.33066086904457909</v>
      </c>
      <c r="AH63" s="47" t="s">
        <v>96</v>
      </c>
      <c r="AI63" s="61" t="s">
        <v>44</v>
      </c>
    </row>
    <row r="64" spans="1:35" ht="15.75" customHeight="1" x14ac:dyDescent="0.35">
      <c r="A64" s="49" t="s">
        <v>103</v>
      </c>
      <c r="B64" s="50"/>
      <c r="C64" s="50">
        <v>2.5364925123840298</v>
      </c>
      <c r="D64" s="50">
        <v>1.66838081024406</v>
      </c>
      <c r="E64" s="51">
        <v>3.4046042145240101</v>
      </c>
      <c r="F64" s="52">
        <v>1.52615540582694</v>
      </c>
      <c r="G64" s="50">
        <v>1.0948522930803599</v>
      </c>
      <c r="H64" s="53">
        <v>2.5364925123840298</v>
      </c>
      <c r="I64" s="54">
        <v>17980083</v>
      </c>
      <c r="J64" s="53">
        <v>2023</v>
      </c>
      <c r="K64" s="55">
        <v>118844826000</v>
      </c>
      <c r="L64" s="50">
        <v>2023</v>
      </c>
      <c r="M64" s="55">
        <v>6609.8040815495697</v>
      </c>
      <c r="N64" s="51">
        <v>2023</v>
      </c>
      <c r="O64" s="52">
        <v>2.2156876423705798</v>
      </c>
      <c r="P64" s="53">
        <v>2023</v>
      </c>
      <c r="Q64" s="56">
        <v>2.2429999999999999</v>
      </c>
      <c r="R64" s="51">
        <v>2014</v>
      </c>
      <c r="S64" s="54">
        <f t="shared" ref="S64:U64" si="72">(AC64*40)* 48</f>
        <v>526855696.65920782</v>
      </c>
      <c r="T64" s="57">
        <f t="shared" si="72"/>
        <v>377962273.96464384</v>
      </c>
      <c r="U64" s="58">
        <f t="shared" si="72"/>
        <v>904817970.62385154</v>
      </c>
      <c r="V64" s="36">
        <f t="shared" si="1"/>
        <v>21.021164027142913</v>
      </c>
      <c r="W64" s="37">
        <f t="shared" si="2"/>
        <v>1181737327.6066031</v>
      </c>
      <c r="X64" s="38">
        <f t="shared" si="3"/>
        <v>847769380.50269604</v>
      </c>
      <c r="Y64" s="39">
        <f t="shared" si="4"/>
        <v>2029506708.1092992</v>
      </c>
      <c r="Z64" s="40">
        <f t="shared" si="5"/>
        <v>9.9435319767862945E-3</v>
      </c>
      <c r="AA64" s="41">
        <f t="shared" si="6"/>
        <v>7.133414293548598E-3</v>
      </c>
      <c r="AB64" s="42">
        <f t="shared" si="7"/>
        <v>1.7076946270334892E-2</v>
      </c>
      <c r="AC64" s="59">
        <v>274404.00867667072</v>
      </c>
      <c r="AD64" s="60">
        <v>196855.35102325201</v>
      </c>
      <c r="AE64" s="60">
        <f t="shared" si="8"/>
        <v>471259.35969992273</v>
      </c>
      <c r="AF64" s="45">
        <f t="shared" si="9"/>
        <v>0.58227810870727137</v>
      </c>
      <c r="AG64" s="46">
        <f t="shared" si="10"/>
        <v>0.41772189129272858</v>
      </c>
      <c r="AH64" s="47" t="s">
        <v>96</v>
      </c>
      <c r="AI64" s="48" t="s">
        <v>44</v>
      </c>
    </row>
    <row r="65" spans="1:35" ht="15.75" customHeight="1" x14ac:dyDescent="0.35">
      <c r="A65" s="49" t="s">
        <v>104</v>
      </c>
      <c r="B65" s="50"/>
      <c r="C65" s="50">
        <v>3.1474754840801999</v>
      </c>
      <c r="D65" s="50">
        <v>2.33512407544253</v>
      </c>
      <c r="E65" s="51">
        <v>3.9598268927178699</v>
      </c>
      <c r="F65" s="52">
        <v>1.98145425147634</v>
      </c>
      <c r="G65" s="50">
        <v>1.1298433690816201</v>
      </c>
      <c r="H65" s="53">
        <v>3.1474754840801999</v>
      </c>
      <c r="I65" s="54">
        <v>6309624</v>
      </c>
      <c r="J65" s="53">
        <v>2023</v>
      </c>
      <c r="K65" s="55">
        <v>34015620000</v>
      </c>
      <c r="L65" s="50">
        <v>2023</v>
      </c>
      <c r="M65" s="55">
        <v>5391.0692618133799</v>
      </c>
      <c r="N65" s="51">
        <v>2023</v>
      </c>
      <c r="O65" s="52">
        <v>4.0455469422247701</v>
      </c>
      <c r="P65" s="53">
        <v>2023</v>
      </c>
      <c r="Q65" s="56">
        <v>11.356999999999999</v>
      </c>
      <c r="R65" s="51">
        <v>2023</v>
      </c>
      <c r="S65" s="54">
        <f t="shared" ref="S65:U65" si="73">(AC65*40)* 48</f>
        <v>240042840.96032926</v>
      </c>
      <c r="T65" s="57">
        <f t="shared" si="73"/>
        <v>136874627.28572637</v>
      </c>
      <c r="U65" s="58">
        <f t="shared" si="73"/>
        <v>376917468.2460556</v>
      </c>
      <c r="V65" s="36">
        <f t="shared" si="1"/>
        <v>21.692992686367106</v>
      </c>
      <c r="W65" s="37">
        <f t="shared" si="2"/>
        <v>2726166544.7864594</v>
      </c>
      <c r="X65" s="38">
        <f t="shared" si="3"/>
        <v>1554485142.0839944</v>
      </c>
      <c r="Y65" s="39">
        <f t="shared" si="4"/>
        <v>4280651686.8704538</v>
      </c>
      <c r="Z65" s="40">
        <f t="shared" si="5"/>
        <v>8.014454961533729E-2</v>
      </c>
      <c r="AA65" s="41">
        <f t="shared" si="6"/>
        <v>4.5699156507627799E-2</v>
      </c>
      <c r="AB65" s="42">
        <f t="shared" si="7"/>
        <v>0.12584370612296508</v>
      </c>
      <c r="AC65" s="59">
        <v>125022.3130001715</v>
      </c>
      <c r="AD65" s="60">
        <v>71288.868377982479</v>
      </c>
      <c r="AE65" s="60">
        <f t="shared" si="8"/>
        <v>196311.18137815397</v>
      </c>
      <c r="AF65" s="45">
        <f t="shared" si="9"/>
        <v>0.63685783011687547</v>
      </c>
      <c r="AG65" s="46">
        <f t="shared" si="10"/>
        <v>0.36314216988312464</v>
      </c>
      <c r="AH65" s="47" t="s">
        <v>96</v>
      </c>
      <c r="AI65" s="61" t="s">
        <v>39</v>
      </c>
    </row>
    <row r="66" spans="1:35" ht="15.75" customHeight="1" x14ac:dyDescent="0.35">
      <c r="A66" s="49" t="s">
        <v>105</v>
      </c>
      <c r="B66" s="50"/>
      <c r="C66" s="50">
        <v>2.3149368322009298</v>
      </c>
      <c r="D66" s="50">
        <v>1.50224149950827</v>
      </c>
      <c r="E66" s="51">
        <v>3.1276321648935799</v>
      </c>
      <c r="F66" s="52">
        <v>1.39330683293785</v>
      </c>
      <c r="G66" s="50">
        <v>0.90637714793310498</v>
      </c>
      <c r="H66" s="53">
        <v>2.3149368322009298</v>
      </c>
      <c r="I66" s="54">
        <v>18124838</v>
      </c>
      <c r="J66" s="53">
        <v>2023</v>
      </c>
      <c r="K66" s="55">
        <v>104450210572.01199</v>
      </c>
      <c r="L66" s="50">
        <v>2023</v>
      </c>
      <c r="M66" s="55">
        <v>5762.8217461591803</v>
      </c>
      <c r="N66" s="51">
        <v>2023</v>
      </c>
      <c r="O66" s="52">
        <v>6.8851282334428703</v>
      </c>
      <c r="P66" s="53">
        <v>2022</v>
      </c>
      <c r="Q66" s="56">
        <v>2.0499999999999998</v>
      </c>
      <c r="R66" s="51">
        <v>2023</v>
      </c>
      <c r="S66" s="54">
        <f t="shared" ref="S66:U66" si="74">(AC66*40)* 48</f>
        <v>484866444.12079847</v>
      </c>
      <c r="T66" s="57">
        <f t="shared" si="74"/>
        <v>315416428.28523958</v>
      </c>
      <c r="U66" s="58">
        <f t="shared" si="74"/>
        <v>800282872.40603793</v>
      </c>
      <c r="V66" s="36">
        <f t="shared" si="1"/>
        <v>17.402441240315614</v>
      </c>
      <c r="W66" s="37">
        <f t="shared" si="2"/>
        <v>993976210.44763672</v>
      </c>
      <c r="X66" s="38">
        <f t="shared" si="3"/>
        <v>646603677.98474109</v>
      </c>
      <c r="Y66" s="39">
        <f t="shared" si="4"/>
        <v>1640579888.4323778</v>
      </c>
      <c r="Z66" s="40">
        <f t="shared" si="5"/>
        <v>9.5162681339196666E-3</v>
      </c>
      <c r="AA66" s="41">
        <f t="shared" si="6"/>
        <v>6.1905445134449741E-3</v>
      </c>
      <c r="AB66" s="42">
        <f t="shared" si="7"/>
        <v>1.5706812647364642E-2</v>
      </c>
      <c r="AC66" s="59">
        <v>252534.60631291589</v>
      </c>
      <c r="AD66" s="60">
        <v>164279.38973189559</v>
      </c>
      <c r="AE66" s="60">
        <f t="shared" si="8"/>
        <v>416813.99604481144</v>
      </c>
      <c r="AF66" s="45">
        <f t="shared" si="9"/>
        <v>0.60586882568541689</v>
      </c>
      <c r="AG66" s="46">
        <f t="shared" si="10"/>
        <v>0.39413117431458322</v>
      </c>
      <c r="AH66" s="47" t="s">
        <v>96</v>
      </c>
      <c r="AI66" s="61" t="s">
        <v>44</v>
      </c>
    </row>
    <row r="67" spans="1:35" ht="15.75" customHeight="1" x14ac:dyDescent="0.35">
      <c r="A67" s="49" t="s">
        <v>106</v>
      </c>
      <c r="B67" s="50"/>
      <c r="C67" s="50">
        <v>3.7539608568867999</v>
      </c>
      <c r="D67" s="50">
        <v>2.8899925456819999</v>
      </c>
      <c r="E67" s="51">
        <v>4.6179291680916004</v>
      </c>
      <c r="F67" s="52">
        <v>2.3572193359584701</v>
      </c>
      <c r="G67" s="50">
        <v>1.29469807065392</v>
      </c>
      <c r="H67" s="53">
        <v>3.7539608568867999</v>
      </c>
      <c r="I67" s="54">
        <v>826353</v>
      </c>
      <c r="J67" s="53">
        <v>2023</v>
      </c>
      <c r="K67" s="55">
        <v>17159509565.4676</v>
      </c>
      <c r="L67" s="50">
        <v>2023</v>
      </c>
      <c r="M67" s="55">
        <v>20765.350359310902</v>
      </c>
      <c r="N67" s="51">
        <v>2023</v>
      </c>
      <c r="O67" s="52">
        <v>2.8211033509964101</v>
      </c>
      <c r="P67" s="53">
        <v>2023</v>
      </c>
      <c r="Q67" s="56">
        <v>2.2040000000000002</v>
      </c>
      <c r="R67" s="51">
        <v>2019</v>
      </c>
      <c r="S67" s="54">
        <f t="shared" ref="S67:U67" si="75">(AC67*40)* 48</f>
        <v>37399589.18260397</v>
      </c>
      <c r="T67" s="57">
        <f t="shared" si="75"/>
        <v>20541650.587758318</v>
      </c>
      <c r="U67" s="58">
        <f t="shared" si="75"/>
        <v>57941239.770362288</v>
      </c>
      <c r="V67" s="36">
        <f t="shared" si="1"/>
        <v>24.858202956555271</v>
      </c>
      <c r="W67" s="37">
        <f t="shared" si="2"/>
        <v>82428694.558459163</v>
      </c>
      <c r="X67" s="38">
        <f t="shared" si="3"/>
        <v>45273797.895419337</v>
      </c>
      <c r="Y67" s="39">
        <f t="shared" si="4"/>
        <v>127702492.45387849</v>
      </c>
      <c r="Z67" s="40">
        <f t="shared" si="5"/>
        <v>4.8036742684267365E-3</v>
      </c>
      <c r="AA67" s="41">
        <f t="shared" si="6"/>
        <v>2.6384086166733995E-3</v>
      </c>
      <c r="AB67" s="42">
        <f t="shared" si="7"/>
        <v>7.4420828851001364E-3</v>
      </c>
      <c r="AC67" s="59">
        <v>19478.952699272901</v>
      </c>
      <c r="AD67" s="60">
        <v>10698.77634779079</v>
      </c>
      <c r="AE67" s="60">
        <f t="shared" si="8"/>
        <v>30177.729047063691</v>
      </c>
      <c r="AF67" s="45">
        <f t="shared" si="9"/>
        <v>0.64547443808294824</v>
      </c>
      <c r="AG67" s="46">
        <f t="shared" si="10"/>
        <v>0.35452556191705176</v>
      </c>
      <c r="AH67" s="47" t="s">
        <v>96</v>
      </c>
      <c r="AI67" s="61" t="s">
        <v>44</v>
      </c>
    </row>
    <row r="68" spans="1:35" ht="15.75" customHeight="1" x14ac:dyDescent="0.35">
      <c r="A68" s="49" t="s">
        <v>107</v>
      </c>
      <c r="B68" s="50"/>
      <c r="C68" s="50">
        <v>2.69691033813206</v>
      </c>
      <c r="D68" s="50">
        <v>1.89650186857902</v>
      </c>
      <c r="E68" s="51">
        <v>3.4973188076851001</v>
      </c>
      <c r="F68" s="52">
        <v>1.92292838218007</v>
      </c>
      <c r="G68" s="50">
        <v>0.90195757089578998</v>
      </c>
      <c r="H68" s="53">
        <v>2.69691033813206</v>
      </c>
      <c r="I68" s="54">
        <v>10644851</v>
      </c>
      <c r="J68" s="53">
        <v>2023</v>
      </c>
      <c r="K68" s="55">
        <v>34400509852.043602</v>
      </c>
      <c r="L68" s="50">
        <v>2023</v>
      </c>
      <c r="M68" s="55">
        <v>3231.65724461936</v>
      </c>
      <c r="N68" s="51">
        <v>2023</v>
      </c>
      <c r="O68" s="52">
        <v>6.6632518034745702</v>
      </c>
      <c r="P68" s="53">
        <v>2023</v>
      </c>
      <c r="Q68" s="56">
        <v>2.6269999999999998</v>
      </c>
      <c r="R68" s="51">
        <v>2023</v>
      </c>
      <c r="S68" s="54">
        <f t="shared" ref="S68:U68" si="76">(AC68*40)* 48</f>
        <v>393010293.34997571</v>
      </c>
      <c r="T68" s="57">
        <f t="shared" si="76"/>
        <v>184343115.84974629</v>
      </c>
      <c r="U68" s="58">
        <f t="shared" si="76"/>
        <v>577353409.19972193</v>
      </c>
      <c r="V68" s="36">
        <f t="shared" si="1"/>
        <v>17.317585361199164</v>
      </c>
      <c r="W68" s="37">
        <f t="shared" si="2"/>
        <v>1032438040.6303861</v>
      </c>
      <c r="X68" s="38">
        <f t="shared" si="3"/>
        <v>484269365.33728343</v>
      </c>
      <c r="Y68" s="39">
        <f t="shared" si="4"/>
        <v>1516707405.9676695</v>
      </c>
      <c r="Z68" s="40">
        <f t="shared" si="5"/>
        <v>3.0012288918707782E-2</v>
      </c>
      <c r="AA68" s="41">
        <f t="shared" si="6"/>
        <v>1.407738918464067E-2</v>
      </c>
      <c r="AB68" s="42">
        <f t="shared" si="7"/>
        <v>4.4089678103348448E-2</v>
      </c>
      <c r="AC68" s="59">
        <v>204692.861119779</v>
      </c>
      <c r="AD68" s="60">
        <v>96012.039505076202</v>
      </c>
      <c r="AE68" s="60">
        <f t="shared" si="8"/>
        <v>300704.90062485519</v>
      </c>
      <c r="AF68" s="45">
        <f t="shared" si="9"/>
        <v>0.68071009383097436</v>
      </c>
      <c r="AG68" s="46">
        <f t="shared" si="10"/>
        <v>0.31928990616902569</v>
      </c>
      <c r="AH68" s="62" t="s">
        <v>96</v>
      </c>
      <c r="AI68" s="63" t="s">
        <v>39</v>
      </c>
    </row>
    <row r="69" spans="1:35" ht="15.75" customHeight="1" x14ac:dyDescent="0.35">
      <c r="A69" s="49" t="s">
        <v>108</v>
      </c>
      <c r="B69" s="50"/>
      <c r="C69" s="50">
        <v>4.9818461070824602</v>
      </c>
      <c r="D69" s="50">
        <v>2.78755945217301</v>
      </c>
      <c r="E69" s="51">
        <v>7.1761327619919104</v>
      </c>
      <c r="F69" s="52">
        <v>3.03283056452223</v>
      </c>
      <c r="G69" s="50">
        <v>2.2569899033004899</v>
      </c>
      <c r="H69" s="53">
        <v>4.9818461070824602</v>
      </c>
      <c r="I69" s="54">
        <v>2839786</v>
      </c>
      <c r="J69" s="53">
        <v>2023</v>
      </c>
      <c r="K69" s="55">
        <v>19423355409.231602</v>
      </c>
      <c r="L69" s="50">
        <v>2023</v>
      </c>
      <c r="M69" s="55">
        <v>6839.7250388696802</v>
      </c>
      <c r="N69" s="51">
        <v>2023</v>
      </c>
      <c r="O69" s="52">
        <v>6.4741373466206298</v>
      </c>
      <c r="P69" s="53">
        <v>2023</v>
      </c>
      <c r="Q69" s="56">
        <v>1.9139999999999999</v>
      </c>
      <c r="R69" s="51">
        <v>2014</v>
      </c>
      <c r="S69" s="54">
        <f t="shared" ref="S69:U69" si="77">(AC69*40)* 48</f>
        <v>165361723.72804466</v>
      </c>
      <c r="T69" s="57">
        <f t="shared" si="77"/>
        <v>123059871.92705441</v>
      </c>
      <c r="U69" s="58">
        <f t="shared" si="77"/>
        <v>288421595.65509909</v>
      </c>
      <c r="V69" s="36">
        <f t="shared" si="1"/>
        <v>43.3342061433694</v>
      </c>
      <c r="W69" s="37">
        <f t="shared" si="2"/>
        <v>316502339.21547747</v>
      </c>
      <c r="X69" s="38">
        <f t="shared" si="3"/>
        <v>235536594.86838213</v>
      </c>
      <c r="Y69" s="39">
        <f t="shared" si="4"/>
        <v>552038934.08385956</v>
      </c>
      <c r="Z69" s="40">
        <f t="shared" si="5"/>
        <v>1.6294936304622688E-2</v>
      </c>
      <c r="AA69" s="41">
        <f t="shared" si="6"/>
        <v>1.2126462699458995E-2</v>
      </c>
      <c r="AB69" s="42">
        <f t="shared" si="7"/>
        <v>2.8421399004081683E-2</v>
      </c>
      <c r="AC69" s="59">
        <v>86125.897775023259</v>
      </c>
      <c r="AD69" s="60">
        <v>64093.683295340838</v>
      </c>
      <c r="AE69" s="60">
        <f t="shared" si="8"/>
        <v>150219.5810703641</v>
      </c>
      <c r="AF69" s="45">
        <f t="shared" si="9"/>
        <v>0.57333336414166391</v>
      </c>
      <c r="AG69" s="46">
        <f t="shared" si="10"/>
        <v>0.42666663585833609</v>
      </c>
      <c r="AH69" s="47" t="s">
        <v>96</v>
      </c>
      <c r="AI69" s="48" t="s">
        <v>44</v>
      </c>
    </row>
    <row r="70" spans="1:35" ht="15.75" customHeight="1" x14ac:dyDescent="0.35">
      <c r="A70" s="49" t="s">
        <v>109</v>
      </c>
      <c r="B70" s="50">
        <v>3.23418639346486</v>
      </c>
      <c r="C70" s="50">
        <v>2.9221060280187201</v>
      </c>
      <c r="D70" s="50">
        <v>2.1016643946653102</v>
      </c>
      <c r="E70" s="51">
        <v>3.7425476613721198</v>
      </c>
      <c r="F70" s="52">
        <v>1.18917751157429</v>
      </c>
      <c r="G70" s="50">
        <v>1.2200025579893901</v>
      </c>
      <c r="H70" s="53">
        <v>3.23418639346486</v>
      </c>
      <c r="I70" s="54">
        <v>129739759</v>
      </c>
      <c r="J70" s="53">
        <v>2023</v>
      </c>
      <c r="K70" s="55">
        <v>1789114434843.46</v>
      </c>
      <c r="L70" s="50">
        <v>2023</v>
      </c>
      <c r="M70" s="55">
        <v>13790.0243428344</v>
      </c>
      <c r="N70" s="51">
        <v>2023</v>
      </c>
      <c r="O70" s="52">
        <v>5.5279608731438898</v>
      </c>
      <c r="P70" s="53">
        <v>2023</v>
      </c>
      <c r="Q70" s="56">
        <v>2.86</v>
      </c>
      <c r="R70" s="51">
        <v>2023</v>
      </c>
      <c r="S70" s="54">
        <f t="shared" ref="S70:U70" si="78">(AC70*40)* 48</f>
        <v>2962245192.1894674</v>
      </c>
      <c r="T70" s="57">
        <f t="shared" si="78"/>
        <v>3039030486.7761984</v>
      </c>
      <c r="U70" s="58">
        <f t="shared" si="78"/>
        <v>6001275678.9656658</v>
      </c>
      <c r="V70" s="36">
        <f t="shared" si="1"/>
        <v>23.42404911339629</v>
      </c>
      <c r="W70" s="37">
        <f t="shared" si="2"/>
        <v>8472021249.6618767</v>
      </c>
      <c r="X70" s="38">
        <f t="shared" si="3"/>
        <v>8691627192.1799278</v>
      </c>
      <c r="Y70" s="39">
        <f t="shared" si="4"/>
        <v>17163648441.841805</v>
      </c>
      <c r="Z70" s="40">
        <f t="shared" si="5"/>
        <v>4.7353154637104827E-3</v>
      </c>
      <c r="AA70" s="41">
        <f t="shared" si="6"/>
        <v>4.8580610736285341E-3</v>
      </c>
      <c r="AB70" s="42">
        <f t="shared" si="7"/>
        <v>9.5933765373390177E-3</v>
      </c>
      <c r="AC70" s="59">
        <v>1542836.0375986809</v>
      </c>
      <c r="AD70" s="60">
        <v>1582828.3785292699</v>
      </c>
      <c r="AE70" s="60">
        <f t="shared" si="8"/>
        <v>3125664.4161279509</v>
      </c>
      <c r="AF70" s="45">
        <f t="shared" si="9"/>
        <v>0.49360258562559778</v>
      </c>
      <c r="AG70" s="46">
        <f t="shared" si="10"/>
        <v>0.50639741437440222</v>
      </c>
      <c r="AH70" s="47" t="s">
        <v>96</v>
      </c>
      <c r="AI70" s="48" t="s">
        <v>44</v>
      </c>
    </row>
    <row r="71" spans="1:35" ht="15.75" customHeight="1" x14ac:dyDescent="0.35">
      <c r="A71" s="49" t="s">
        <v>110</v>
      </c>
      <c r="B71" s="50"/>
      <c r="C71" s="50">
        <v>4.3632105917448403</v>
      </c>
      <c r="D71" s="50">
        <v>3.51422752497679</v>
      </c>
      <c r="E71" s="51">
        <v>5.2121936585128896</v>
      </c>
      <c r="F71" s="52">
        <v>2.6856143661744798</v>
      </c>
      <c r="G71" s="50">
        <v>1.6471826467225199</v>
      </c>
      <c r="H71" s="53">
        <v>4.3632105917448403</v>
      </c>
      <c r="I71" s="54">
        <v>4458759</v>
      </c>
      <c r="J71" s="53">
        <v>2023</v>
      </c>
      <c r="K71" s="55">
        <v>83318176900</v>
      </c>
      <c r="L71" s="50">
        <v>2023</v>
      </c>
      <c r="M71" s="55">
        <v>18686.405096126498</v>
      </c>
      <c r="N71" s="51">
        <v>2023</v>
      </c>
      <c r="O71" s="52">
        <v>1.4864135527703799</v>
      </c>
      <c r="P71" s="53">
        <v>2023</v>
      </c>
      <c r="Q71" s="56">
        <v>5.3460000000000001</v>
      </c>
      <c r="R71" s="51">
        <v>2023</v>
      </c>
      <c r="S71" s="54">
        <f t="shared" ref="S71:U71" si="79">(AC71*40)* 48</f>
        <v>229910538.73362738</v>
      </c>
      <c r="T71" s="57">
        <f t="shared" si="79"/>
        <v>141012296.65378284</v>
      </c>
      <c r="U71" s="58">
        <f t="shared" si="79"/>
        <v>370922835.38741022</v>
      </c>
      <c r="V71" s="36">
        <f t="shared" si="1"/>
        <v>31.625906817072384</v>
      </c>
      <c r="W71" s="37">
        <f t="shared" si="2"/>
        <v>1229101740.069972</v>
      </c>
      <c r="X71" s="38">
        <f t="shared" si="3"/>
        <v>753851737.91112316</v>
      </c>
      <c r="Y71" s="39">
        <f t="shared" si="4"/>
        <v>1982953477.9810953</v>
      </c>
      <c r="Z71" s="40">
        <f t="shared" si="5"/>
        <v>1.4751903915818543E-2</v>
      </c>
      <c r="AA71" s="41">
        <f t="shared" si="6"/>
        <v>9.0478664555503872E-3</v>
      </c>
      <c r="AB71" s="42">
        <f t="shared" si="7"/>
        <v>2.379977037136893E-2</v>
      </c>
      <c r="AC71" s="59">
        <v>119745.07225709761</v>
      </c>
      <c r="AD71" s="60">
        <v>73443.904507178551</v>
      </c>
      <c r="AE71" s="60">
        <f t="shared" si="8"/>
        <v>193188.97676427616</v>
      </c>
      <c r="AF71" s="45">
        <f t="shared" si="9"/>
        <v>0.61983387594214145</v>
      </c>
      <c r="AG71" s="46">
        <f t="shared" si="10"/>
        <v>0.38016612405785849</v>
      </c>
      <c r="AH71" s="62" t="s">
        <v>96</v>
      </c>
      <c r="AI71" s="63" t="s">
        <v>37</v>
      </c>
    </row>
    <row r="72" spans="1:35" ht="15.75" customHeight="1" x14ac:dyDescent="0.35">
      <c r="A72" s="49" t="s">
        <v>111</v>
      </c>
      <c r="B72" s="50"/>
      <c r="C72" s="50">
        <v>2.9581678813434702</v>
      </c>
      <c r="D72" s="50">
        <v>2.1404364724249798</v>
      </c>
      <c r="E72" s="51">
        <v>3.7758992902619601</v>
      </c>
      <c r="F72" s="52">
        <v>1.99949989260669</v>
      </c>
      <c r="G72" s="50">
        <v>1.04834513618314</v>
      </c>
      <c r="H72" s="53">
        <v>2.9581678813434702</v>
      </c>
      <c r="I72" s="54">
        <v>6844146</v>
      </c>
      <c r="J72" s="53">
        <v>2023</v>
      </c>
      <c r="K72" s="55">
        <v>42956263543.948196</v>
      </c>
      <c r="L72" s="50">
        <v>2023</v>
      </c>
      <c r="M72" s="55">
        <v>6276.3511391995698</v>
      </c>
      <c r="N72" s="51">
        <v>2023</v>
      </c>
      <c r="O72" s="52">
        <v>4.6320228540335604</v>
      </c>
      <c r="P72" s="53">
        <v>2023</v>
      </c>
      <c r="Q72" s="56">
        <v>2.4580000000000002</v>
      </c>
      <c r="R72" s="51">
        <v>2023</v>
      </c>
      <c r="S72" s="54">
        <f t="shared" ref="S72:U72" si="80">(AC72*40)* 48</f>
        <v>262749488.48610258</v>
      </c>
      <c r="T72" s="57">
        <f t="shared" si="80"/>
        <v>137760521.67220402</v>
      </c>
      <c r="U72" s="58">
        <f t="shared" si="80"/>
        <v>400510010.1583066</v>
      </c>
      <c r="V72" s="36">
        <f t="shared" si="1"/>
        <v>20.128226614716286</v>
      </c>
      <c r="W72" s="37">
        <f t="shared" si="2"/>
        <v>645838242.69884014</v>
      </c>
      <c r="X72" s="38">
        <f t="shared" si="3"/>
        <v>338615362.2702775</v>
      </c>
      <c r="Y72" s="39">
        <f t="shared" si="4"/>
        <v>984453604.96911764</v>
      </c>
      <c r="Z72" s="40">
        <f t="shared" si="5"/>
        <v>1.5034786301608575E-2</v>
      </c>
      <c r="AA72" s="41">
        <f t="shared" si="6"/>
        <v>7.8827936681188041E-3</v>
      </c>
      <c r="AB72" s="42">
        <f t="shared" si="7"/>
        <v>2.2917579969727379E-2</v>
      </c>
      <c r="AC72" s="59">
        <v>136848.69191984509</v>
      </c>
      <c r="AD72" s="60">
        <v>71750.27170427292</v>
      </c>
      <c r="AE72" s="60">
        <f t="shared" si="8"/>
        <v>208598.96362411801</v>
      </c>
      <c r="AF72" s="45">
        <f t="shared" si="9"/>
        <v>0.65603725705194627</v>
      </c>
      <c r="AG72" s="46">
        <f t="shared" si="10"/>
        <v>0.34396274294805373</v>
      </c>
      <c r="AH72" s="47" t="s">
        <v>96</v>
      </c>
      <c r="AI72" s="63" t="s">
        <v>44</v>
      </c>
    </row>
    <row r="73" spans="1:35" ht="15.75" customHeight="1" x14ac:dyDescent="0.35">
      <c r="A73" s="49" t="s">
        <v>112</v>
      </c>
      <c r="B73" s="50">
        <v>2.1872038161498999</v>
      </c>
      <c r="C73" s="50">
        <v>2.53182829740742</v>
      </c>
      <c r="D73" s="50">
        <v>1.69036473991902</v>
      </c>
      <c r="E73" s="51">
        <v>3.37329185489582</v>
      </c>
      <c r="F73" s="52">
        <v>1.5932889544231701</v>
      </c>
      <c r="G73" s="50">
        <v>1.1084289716754101</v>
      </c>
      <c r="H73" s="53">
        <v>2.1872038161498999</v>
      </c>
      <c r="I73" s="54">
        <v>33845617</v>
      </c>
      <c r="J73" s="53">
        <v>2023</v>
      </c>
      <c r="K73" s="55">
        <v>267603248655.25299</v>
      </c>
      <c r="L73" s="50">
        <v>2023</v>
      </c>
      <c r="M73" s="55">
        <v>7906.5850285799997</v>
      </c>
      <c r="N73" s="51">
        <v>2023</v>
      </c>
      <c r="O73" s="52">
        <v>6.4556134836958599</v>
      </c>
      <c r="P73" s="53">
        <v>2023</v>
      </c>
      <c r="Q73" s="56">
        <v>2.585</v>
      </c>
      <c r="R73" s="51">
        <v>2023</v>
      </c>
      <c r="S73" s="54">
        <f t="shared" ref="S73:U73" si="81">(AC73*40)* 48</f>
        <v>1035376276.2573516</v>
      </c>
      <c r="T73" s="57">
        <f t="shared" si="81"/>
        <v>720296878.98297167</v>
      </c>
      <c r="U73" s="58">
        <f t="shared" si="81"/>
        <v>1755673155.2403231</v>
      </c>
      <c r="V73" s="36">
        <f t="shared" si="1"/>
        <v>21.281836256167871</v>
      </c>
      <c r="W73" s="37">
        <f t="shared" si="2"/>
        <v>2676447674.1252542</v>
      </c>
      <c r="X73" s="38">
        <f t="shared" si="3"/>
        <v>1861967432.1709816</v>
      </c>
      <c r="Y73" s="39">
        <f t="shared" si="4"/>
        <v>4538415106.296236</v>
      </c>
      <c r="Z73" s="40">
        <f t="shared" si="5"/>
        <v>1.000155150423177E-2</v>
      </c>
      <c r="AA73" s="41">
        <f t="shared" si="6"/>
        <v>6.9579403147295524E-3</v>
      </c>
      <c r="AB73" s="42">
        <f t="shared" si="7"/>
        <v>1.6959491818961323E-2</v>
      </c>
      <c r="AC73" s="59">
        <v>539258.47721737064</v>
      </c>
      <c r="AD73" s="60">
        <v>375154.62447029777</v>
      </c>
      <c r="AE73" s="60">
        <f t="shared" si="8"/>
        <v>914413.10168766836</v>
      </c>
      <c r="AF73" s="45">
        <f t="shared" si="9"/>
        <v>0.58973179214306859</v>
      </c>
      <c r="AG73" s="46">
        <f t="shared" si="10"/>
        <v>0.41026820785693152</v>
      </c>
      <c r="AH73" s="47" t="s">
        <v>96</v>
      </c>
      <c r="AI73" s="63" t="s">
        <v>44</v>
      </c>
    </row>
    <row r="74" spans="1:35" ht="15.75" customHeight="1" x14ac:dyDescent="0.35">
      <c r="A74" s="49" t="s">
        <v>113</v>
      </c>
      <c r="B74" s="50"/>
      <c r="C74" s="50">
        <v>6.2763106523497001</v>
      </c>
      <c r="D74" s="50">
        <v>5.28084293283582</v>
      </c>
      <c r="E74" s="51">
        <v>7.27177837186359</v>
      </c>
      <c r="F74" s="52">
        <v>3.6715006174509601</v>
      </c>
      <c r="G74" s="50">
        <v>2.26676387638717</v>
      </c>
      <c r="H74" s="53">
        <v>6.2763106523497001</v>
      </c>
      <c r="I74" s="54">
        <v>3388081</v>
      </c>
      <c r="J74" s="53">
        <v>2023</v>
      </c>
      <c r="K74" s="55">
        <v>77240830877.459702</v>
      </c>
      <c r="L74" s="50">
        <v>2023</v>
      </c>
      <c r="M74" s="55">
        <v>22797.811173186099</v>
      </c>
      <c r="N74" s="51">
        <v>2023</v>
      </c>
      <c r="O74" s="52">
        <v>5.8691035989611899</v>
      </c>
      <c r="P74" s="53">
        <v>2023</v>
      </c>
      <c r="Q74" s="56">
        <v>5.4998750000000003</v>
      </c>
      <c r="R74" s="51">
        <v>2020</v>
      </c>
      <c r="S74" s="54">
        <f t="shared" ref="S74:U74" si="82">(AC74*40)* 48</f>
        <v>238835356.48269826</v>
      </c>
      <c r="T74" s="57">
        <f t="shared" si="82"/>
        <v>147455608.7246154</v>
      </c>
      <c r="U74" s="58">
        <f t="shared" si="82"/>
        <v>386290965.20731372</v>
      </c>
      <c r="V74" s="36">
        <f t="shared" si="1"/>
        <v>43.521866426633657</v>
      </c>
      <c r="W74" s="37">
        <f t="shared" si="2"/>
        <v>1313564606.2352803</v>
      </c>
      <c r="X74" s="38">
        <f t="shared" si="3"/>
        <v>810987416.03429413</v>
      </c>
      <c r="Y74" s="39">
        <f t="shared" si="4"/>
        <v>2124552022.2695744</v>
      </c>
      <c r="Z74" s="40">
        <f t="shared" si="5"/>
        <v>1.7006091096031989E-2</v>
      </c>
      <c r="AA74" s="41">
        <f t="shared" si="6"/>
        <v>1.0499465202813545E-2</v>
      </c>
      <c r="AB74" s="42">
        <f t="shared" si="7"/>
        <v>2.7505556298845532E-2</v>
      </c>
      <c r="AC74" s="59">
        <v>124393.41483473869</v>
      </c>
      <c r="AD74" s="60">
        <v>76799.796210737186</v>
      </c>
      <c r="AE74" s="60">
        <f t="shared" si="8"/>
        <v>201193.21104547588</v>
      </c>
      <c r="AF74" s="45">
        <f t="shared" si="9"/>
        <v>0.61827839114621985</v>
      </c>
      <c r="AG74" s="46">
        <f t="shared" si="10"/>
        <v>0.38172160885378015</v>
      </c>
      <c r="AH74" s="47" t="s">
        <v>96</v>
      </c>
      <c r="AI74" s="48" t="s">
        <v>37</v>
      </c>
    </row>
    <row r="75" spans="1:35" ht="15.75" customHeight="1" x14ac:dyDescent="0.35">
      <c r="A75" s="49" t="s">
        <v>114</v>
      </c>
      <c r="B75" s="50"/>
      <c r="C75" s="50">
        <v>8.7630886519478608</v>
      </c>
      <c r="D75" s="50">
        <v>6.3464422282888897</v>
      </c>
      <c r="E75" s="51">
        <v>11.1797350756068</v>
      </c>
      <c r="F75" s="52">
        <v>5.2400637812375397</v>
      </c>
      <c r="G75" s="50">
        <v>3.1322329560437399</v>
      </c>
      <c r="H75" s="53">
        <v>8.7630886519478608</v>
      </c>
      <c r="I75" s="54">
        <v>1152944</v>
      </c>
      <c r="J75" s="53">
        <v>2023</v>
      </c>
      <c r="K75" s="55">
        <v>4098530513.5577698</v>
      </c>
      <c r="L75" s="50">
        <v>2023</v>
      </c>
      <c r="M75" s="55">
        <v>3554.8391886837198</v>
      </c>
      <c r="N75" s="51">
        <v>2023</v>
      </c>
      <c r="O75" s="52">
        <v>1.4950681651508799</v>
      </c>
      <c r="P75" s="53">
        <v>2023</v>
      </c>
      <c r="Q75" s="56">
        <v>3.3586437500000001</v>
      </c>
      <c r="R75" s="51">
        <v>2017</v>
      </c>
      <c r="S75" s="54">
        <f t="shared" ref="S75:U75" si="83">(AC75*40)* 48</f>
        <v>115996801.84694657</v>
      </c>
      <c r="T75" s="57">
        <f t="shared" si="83"/>
        <v>69336752.510839567</v>
      </c>
      <c r="U75" s="58">
        <f t="shared" si="83"/>
        <v>185333554.35778612</v>
      </c>
      <c r="V75" s="36">
        <f t="shared" si="1"/>
        <v>60.138872756039817</v>
      </c>
      <c r="W75" s="37">
        <f t="shared" si="2"/>
        <v>389591933.54323554</v>
      </c>
      <c r="X75" s="38">
        <f t="shared" si="3"/>
        <v>232877450.46582812</v>
      </c>
      <c r="Y75" s="39">
        <f t="shared" si="4"/>
        <v>622469384.00906372</v>
      </c>
      <c r="Z75" s="40">
        <f t="shared" si="5"/>
        <v>9.5056492138946264E-2</v>
      </c>
      <c r="AA75" s="41">
        <f t="shared" si="6"/>
        <v>5.6819743001907425E-2</v>
      </c>
      <c r="AB75" s="42">
        <f t="shared" si="7"/>
        <v>0.15187623514085369</v>
      </c>
      <c r="AC75" s="59">
        <v>60415.000961951337</v>
      </c>
      <c r="AD75" s="60">
        <v>36112.89193272894</v>
      </c>
      <c r="AE75" s="60">
        <f t="shared" si="8"/>
        <v>96527.892894680277</v>
      </c>
      <c r="AF75" s="45">
        <f t="shared" si="9"/>
        <v>0.62588127794179638</v>
      </c>
      <c r="AG75" s="46">
        <f t="shared" si="10"/>
        <v>0.37411872205820362</v>
      </c>
      <c r="AH75" s="47" t="s">
        <v>115</v>
      </c>
      <c r="AI75" s="48" t="s">
        <v>39</v>
      </c>
    </row>
    <row r="76" spans="1:35" ht="15.75" customHeight="1" x14ac:dyDescent="0.35">
      <c r="A76" s="49" t="s">
        <v>116</v>
      </c>
      <c r="B76" s="50">
        <v>3.6079826616388799</v>
      </c>
      <c r="C76" s="50">
        <v>2.90211514861477</v>
      </c>
      <c r="D76" s="50">
        <v>1.8076003640413101</v>
      </c>
      <c r="E76" s="51">
        <v>3.99662993318822</v>
      </c>
      <c r="F76" s="52">
        <v>2.4397906769875899</v>
      </c>
      <c r="G76" s="50">
        <v>0.438049873050679</v>
      </c>
      <c r="H76" s="53">
        <v>3.6079826616388799</v>
      </c>
      <c r="I76" s="54">
        <v>114535772</v>
      </c>
      <c r="J76" s="53">
        <v>2023</v>
      </c>
      <c r="K76" s="55">
        <v>396002496996.96002</v>
      </c>
      <c r="L76" s="50">
        <v>2023</v>
      </c>
      <c r="M76" s="55">
        <v>3457.4569157045498</v>
      </c>
      <c r="N76" s="51">
        <v>2023</v>
      </c>
      <c r="O76" s="52">
        <v>33.884776311554603</v>
      </c>
      <c r="P76" s="53">
        <v>2023</v>
      </c>
      <c r="Q76" s="56">
        <v>0.76900000000000002</v>
      </c>
      <c r="R76" s="51">
        <v>2023</v>
      </c>
      <c r="S76" s="54">
        <f t="shared" ref="S76:U76" si="84">(AC76*40)* 48</f>
        <v>5365311527.177783</v>
      </c>
      <c r="T76" s="57">
        <f t="shared" si="84"/>
        <v>963309703.37974095</v>
      </c>
      <c r="U76" s="58">
        <f t="shared" si="84"/>
        <v>6328621230.5575237</v>
      </c>
      <c r="V76" s="36">
        <f t="shared" si="1"/>
        <v>8.410557562573036</v>
      </c>
      <c r="W76" s="37">
        <f t="shared" si="2"/>
        <v>4125924564.3997154</v>
      </c>
      <c r="X76" s="38">
        <f t="shared" si="3"/>
        <v>740785161.89902079</v>
      </c>
      <c r="Y76" s="39">
        <f t="shared" si="4"/>
        <v>4866709726.2987366</v>
      </c>
      <c r="Z76" s="40">
        <f t="shared" si="5"/>
        <v>1.0418935728153726E-2</v>
      </c>
      <c r="AA76" s="41">
        <f t="shared" si="6"/>
        <v>1.8706578052327472E-3</v>
      </c>
      <c r="AB76" s="42">
        <f t="shared" si="7"/>
        <v>1.2289593533386472E-2</v>
      </c>
      <c r="AC76" s="59">
        <v>2794433.087071762</v>
      </c>
      <c r="AD76" s="60">
        <v>501723.80384361511</v>
      </c>
      <c r="AE76" s="60">
        <f t="shared" si="8"/>
        <v>3296156.8909153771</v>
      </c>
      <c r="AF76" s="45">
        <f t="shared" si="9"/>
        <v>0.84778521761921311</v>
      </c>
      <c r="AG76" s="46">
        <f t="shared" si="10"/>
        <v>0.15221478238078684</v>
      </c>
      <c r="AH76" s="47" t="s">
        <v>115</v>
      </c>
      <c r="AI76" s="48" t="s">
        <v>39</v>
      </c>
    </row>
    <row r="77" spans="1:35" ht="15.75" customHeight="1" x14ac:dyDescent="0.35">
      <c r="A77" s="49" t="s">
        <v>117</v>
      </c>
      <c r="B77" s="50">
        <v>12.419019107982299</v>
      </c>
      <c r="C77" s="50">
        <v>12.3364818921891</v>
      </c>
      <c r="D77" s="50">
        <v>11.458085135873199</v>
      </c>
      <c r="E77" s="51">
        <v>13.2148786485049</v>
      </c>
      <c r="F77" s="52">
        <v>9.6338735100518793</v>
      </c>
      <c r="G77" s="50">
        <v>2.77566459950561</v>
      </c>
      <c r="H77" s="53">
        <v>12.419019107982299</v>
      </c>
      <c r="I77" s="54">
        <v>9756600</v>
      </c>
      <c r="J77" s="53">
        <v>2023</v>
      </c>
      <c r="K77" s="55">
        <v>513611100815.69098</v>
      </c>
      <c r="L77" s="50">
        <v>2023</v>
      </c>
      <c r="M77" s="55">
        <v>52642.426748630802</v>
      </c>
      <c r="N77" s="51">
        <v>2023</v>
      </c>
      <c r="O77" s="52">
        <v>4.2253521126760898</v>
      </c>
      <c r="P77" s="53">
        <v>2023</v>
      </c>
      <c r="Q77" s="56">
        <v>17.2</v>
      </c>
      <c r="R77" s="51">
        <v>2018</v>
      </c>
      <c r="S77" s="54">
        <f t="shared" ref="S77:U77" si="85">(AC77*40)* 48</f>
        <v>1804681925.5329058</v>
      </c>
      <c r="T77" s="57">
        <f t="shared" si="85"/>
        <v>519956145.24549973</v>
      </c>
      <c r="U77" s="58">
        <f t="shared" si="85"/>
        <v>2324638070.7784052</v>
      </c>
      <c r="V77" s="36">
        <f t="shared" si="1"/>
        <v>53.292760310507731</v>
      </c>
      <c r="W77" s="37">
        <f t="shared" si="2"/>
        <v>31040529119.165977</v>
      </c>
      <c r="X77" s="38">
        <f t="shared" si="3"/>
        <v>8943245698.2225952</v>
      </c>
      <c r="Y77" s="39">
        <f t="shared" si="4"/>
        <v>39983774817.388573</v>
      </c>
      <c r="Z77" s="40">
        <f t="shared" si="5"/>
        <v>6.0435861043246518E-2</v>
      </c>
      <c r="AA77" s="41">
        <f t="shared" si="6"/>
        <v>1.74124852130715E-2</v>
      </c>
      <c r="AB77" s="42">
        <f t="shared" si="7"/>
        <v>7.7848346256318021E-2</v>
      </c>
      <c r="AC77" s="59">
        <v>939938.50288172171</v>
      </c>
      <c r="AD77" s="60">
        <v>270810.49231536442</v>
      </c>
      <c r="AE77" s="60">
        <f t="shared" si="8"/>
        <v>1210748.9951970861</v>
      </c>
      <c r="AF77" s="45">
        <f t="shared" si="9"/>
        <v>0.7763281296208866</v>
      </c>
      <c r="AG77" s="46">
        <f t="shared" si="10"/>
        <v>0.22367187037911337</v>
      </c>
      <c r="AH77" s="47" t="s">
        <v>115</v>
      </c>
      <c r="AI77" s="48" t="s">
        <v>37</v>
      </c>
    </row>
    <row r="78" spans="1:35" ht="15.75" customHeight="1" x14ac:dyDescent="0.35">
      <c r="A78" s="49" t="s">
        <v>118</v>
      </c>
      <c r="B78" s="50"/>
      <c r="C78" s="50">
        <v>5.90675675099261</v>
      </c>
      <c r="D78" s="50">
        <v>5.0079227193818099</v>
      </c>
      <c r="E78" s="51">
        <v>6.8055907826034101</v>
      </c>
      <c r="F78" s="52">
        <v>3.9293601804695002</v>
      </c>
      <c r="G78" s="50">
        <v>2.1936628429353999</v>
      </c>
      <c r="H78" s="53">
        <v>5.90675675099261</v>
      </c>
      <c r="I78" s="54">
        <v>11439213</v>
      </c>
      <c r="J78" s="53">
        <v>2023</v>
      </c>
      <c r="K78" s="55">
        <v>50967475352.112701</v>
      </c>
      <c r="L78" s="50">
        <v>2023</v>
      </c>
      <c r="M78" s="55">
        <v>4455.50540514568</v>
      </c>
      <c r="N78" s="51">
        <v>2023</v>
      </c>
      <c r="O78" s="52">
        <v>2.0848698632713401</v>
      </c>
      <c r="P78" s="53">
        <v>2023</v>
      </c>
      <c r="Q78" s="56">
        <v>2.54</v>
      </c>
      <c r="R78" s="51">
        <v>2023</v>
      </c>
      <c r="S78" s="54">
        <f t="shared" ref="S78:U78" si="86">(AC78*40)* 48</f>
        <v>863016730.71569371</v>
      </c>
      <c r="T78" s="57">
        <f t="shared" si="86"/>
        <v>481800509.0020529</v>
      </c>
      <c r="U78" s="58">
        <f t="shared" si="86"/>
        <v>1344817239.7177467</v>
      </c>
      <c r="V78" s="36">
        <f t="shared" si="1"/>
        <v>42.118326584359686</v>
      </c>
      <c r="W78" s="37">
        <f t="shared" si="2"/>
        <v>2192062496.0178618</v>
      </c>
      <c r="X78" s="38">
        <f t="shared" si="3"/>
        <v>1223773292.8652143</v>
      </c>
      <c r="Y78" s="39">
        <f t="shared" si="4"/>
        <v>3415835788.8830762</v>
      </c>
      <c r="Z78" s="40">
        <f t="shared" si="5"/>
        <v>4.3009046080344976E-2</v>
      </c>
      <c r="AA78" s="41">
        <f t="shared" si="6"/>
        <v>2.4010867409277839E-2</v>
      </c>
      <c r="AB78" s="42">
        <f t="shared" si="7"/>
        <v>6.7019913489622815E-2</v>
      </c>
      <c r="AC78" s="59">
        <v>449487.88058109052</v>
      </c>
      <c r="AD78" s="60">
        <v>250937.76510523591</v>
      </c>
      <c r="AE78" s="60">
        <f t="shared" si="8"/>
        <v>700425.64568632643</v>
      </c>
      <c r="AF78" s="45">
        <f t="shared" si="9"/>
        <v>0.64173532672500966</v>
      </c>
      <c r="AG78" s="46">
        <f t="shared" si="10"/>
        <v>0.3582646732749904</v>
      </c>
      <c r="AH78" s="47" t="s">
        <v>115</v>
      </c>
      <c r="AI78" s="48" t="s">
        <v>44</v>
      </c>
    </row>
    <row r="79" spans="1:35" ht="15.75" customHeight="1" x14ac:dyDescent="0.35">
      <c r="A79" s="49" t="s">
        <v>119</v>
      </c>
      <c r="B79" s="50"/>
      <c r="C79" s="50">
        <v>6.0698041266628797</v>
      </c>
      <c r="D79" s="50">
        <v>5.0965711364787101</v>
      </c>
      <c r="E79" s="51">
        <v>7.0430371168470502</v>
      </c>
      <c r="F79" s="52">
        <v>3.9625438446321501</v>
      </c>
      <c r="G79" s="50">
        <v>2.0350072314669601</v>
      </c>
      <c r="H79" s="53">
        <v>6.0698041266628797</v>
      </c>
      <c r="I79" s="54">
        <v>5773493</v>
      </c>
      <c r="J79" s="53">
        <v>2023</v>
      </c>
      <c r="K79" s="55">
        <v>20992421948.808102</v>
      </c>
      <c r="L79" s="50">
        <v>2022</v>
      </c>
      <c r="M79" s="55">
        <v>3654.3584553487799</v>
      </c>
      <c r="N79" s="51">
        <v>2022</v>
      </c>
      <c r="O79" s="52">
        <v>221.34164402336501</v>
      </c>
      <c r="P79" s="53">
        <v>2023</v>
      </c>
      <c r="Q79" s="56">
        <v>4.4450000000000003</v>
      </c>
      <c r="R79" s="51">
        <v>2019</v>
      </c>
      <c r="S79" s="54">
        <f t="shared" ref="S79:U79" si="87">(AC79*40)* 48</f>
        <v>439252207.66419482</v>
      </c>
      <c r="T79" s="57">
        <f t="shared" si="87"/>
        <v>225582720.11181831</v>
      </c>
      <c r="U79" s="58">
        <f t="shared" si="87"/>
        <v>664834927.77601314</v>
      </c>
      <c r="V79" s="36">
        <f t="shared" si="1"/>
        <v>39.072138844165622</v>
      </c>
      <c r="W79" s="37">
        <f t="shared" si="2"/>
        <v>1952476063.0673461</v>
      </c>
      <c r="X79" s="38">
        <f t="shared" si="3"/>
        <v>1002715190.8970325</v>
      </c>
      <c r="Y79" s="39">
        <f t="shared" si="4"/>
        <v>2955191253.9643784</v>
      </c>
      <c r="Z79" s="40">
        <f t="shared" si="5"/>
        <v>9.3008613671573176E-2</v>
      </c>
      <c r="AA79" s="41">
        <f t="shared" si="6"/>
        <v>4.7765579090504336E-2</v>
      </c>
      <c r="AB79" s="42">
        <f t="shared" si="7"/>
        <v>0.1407741927620775</v>
      </c>
      <c r="AC79" s="59">
        <v>228777.19149176811</v>
      </c>
      <c r="AD79" s="60">
        <v>117491.0000582387</v>
      </c>
      <c r="AE79" s="60">
        <f t="shared" si="8"/>
        <v>346268.1915500068</v>
      </c>
      <c r="AF79" s="45">
        <f t="shared" si="9"/>
        <v>0.66069363884591448</v>
      </c>
      <c r="AG79" s="46">
        <f t="shared" si="10"/>
        <v>0.33930636115408558</v>
      </c>
      <c r="AH79" s="47" t="s">
        <v>115</v>
      </c>
      <c r="AI79" s="48" t="s">
        <v>39</v>
      </c>
    </row>
    <row r="80" spans="1:35" ht="15.75" customHeight="1" x14ac:dyDescent="0.35">
      <c r="A80" s="49" t="s">
        <v>120</v>
      </c>
      <c r="B80" s="50"/>
      <c r="C80" s="50">
        <v>7.6276568677221501</v>
      </c>
      <c r="D80" s="50">
        <v>6.3536678883295403</v>
      </c>
      <c r="E80" s="51">
        <v>8.9016458471147697</v>
      </c>
      <c r="F80" s="52">
        <v>4.9184178314444296</v>
      </c>
      <c r="G80" s="50">
        <v>3.7110733918438199</v>
      </c>
      <c r="H80" s="53">
        <v>7.6276568677221501</v>
      </c>
      <c r="I80" s="54">
        <v>2656032</v>
      </c>
      <c r="J80" s="53">
        <v>2023</v>
      </c>
      <c r="K80" s="55">
        <v>213002809330.267</v>
      </c>
      <c r="L80" s="50">
        <v>2023</v>
      </c>
      <c r="M80" s="55">
        <v>80195.874646942</v>
      </c>
      <c r="N80" s="51">
        <v>2023</v>
      </c>
      <c r="O80" s="52">
        <v>3.0276489919890199</v>
      </c>
      <c r="P80" s="53">
        <v>2023</v>
      </c>
      <c r="Q80" s="56">
        <v>20.540862499999999</v>
      </c>
      <c r="R80" s="51">
        <v>2022</v>
      </c>
      <c r="S80" s="54">
        <f t="shared" ref="S80:U80" si="88">(AC80*40)* 48</f>
        <v>250818722.8739906</v>
      </c>
      <c r="T80" s="57">
        <f t="shared" si="88"/>
        <v>189249209.91524589</v>
      </c>
      <c r="U80" s="58">
        <f t="shared" si="88"/>
        <v>440067932.78923649</v>
      </c>
      <c r="V80" s="36">
        <f t="shared" si="1"/>
        <v>71.252609123401328</v>
      </c>
      <c r="W80" s="37">
        <f t="shared" si="2"/>
        <v>5152032898.9802456</v>
      </c>
      <c r="X80" s="38">
        <f t="shared" si="3"/>
        <v>3887341999.1027021</v>
      </c>
      <c r="Y80" s="39">
        <f t="shared" si="4"/>
        <v>9039374898.0829468</v>
      </c>
      <c r="Z80" s="40">
        <f t="shared" si="5"/>
        <v>2.4187628863579305E-2</v>
      </c>
      <c r="AA80" s="41">
        <f t="shared" si="6"/>
        <v>1.8250191212620424E-2</v>
      </c>
      <c r="AB80" s="42">
        <f t="shared" si="7"/>
        <v>4.2437820076199728E-2</v>
      </c>
      <c r="AC80" s="59">
        <v>130634.7514968701</v>
      </c>
      <c r="AD80" s="60">
        <v>98567.296830857245</v>
      </c>
      <c r="AE80" s="60">
        <f t="shared" si="8"/>
        <v>229202.04832772736</v>
      </c>
      <c r="AF80" s="45">
        <f t="shared" si="9"/>
        <v>0.5699545551620917</v>
      </c>
      <c r="AG80" s="46">
        <f t="shared" si="10"/>
        <v>0.43004544483790819</v>
      </c>
      <c r="AH80" s="47" t="s">
        <v>115</v>
      </c>
      <c r="AI80" s="63" t="s">
        <v>37</v>
      </c>
    </row>
    <row r="81" spans="1:35" ht="15.75" customHeight="1" x14ac:dyDescent="0.35">
      <c r="A81" s="49" t="s">
        <v>121</v>
      </c>
      <c r="B81" s="50"/>
      <c r="C81" s="50">
        <v>2.8710748069467802</v>
      </c>
      <c r="D81" s="50">
        <v>2.0541924345531002</v>
      </c>
      <c r="E81" s="51">
        <v>3.68795717934045</v>
      </c>
      <c r="F81" s="52">
        <v>2.1638542759744102</v>
      </c>
      <c r="G81" s="50">
        <v>0.64325185787378403</v>
      </c>
      <c r="H81" s="53">
        <v>2.8710748069467802</v>
      </c>
      <c r="I81" s="54">
        <v>12200431</v>
      </c>
      <c r="J81" s="53">
        <v>2023</v>
      </c>
      <c r="K81" s="55">
        <v>48529595416.653297</v>
      </c>
      <c r="L81" s="50">
        <v>2023</v>
      </c>
      <c r="M81" s="55">
        <v>3977.6951663964401</v>
      </c>
      <c r="N81" s="51">
        <v>2023</v>
      </c>
      <c r="O81" s="52">
        <v>9.3289959750786497</v>
      </c>
      <c r="P81" s="53">
        <v>2023</v>
      </c>
      <c r="Q81" s="56">
        <v>1.704</v>
      </c>
      <c r="R81" s="51">
        <v>2019</v>
      </c>
      <c r="S81" s="54">
        <f t="shared" ref="S81:U81" si="89">(AC81*40)* 48</f>
        <v>506879131.93115032</v>
      </c>
      <c r="T81" s="57">
        <f t="shared" si="89"/>
        <v>150680638.22612944</v>
      </c>
      <c r="U81" s="58">
        <f t="shared" si="89"/>
        <v>657559770.15727985</v>
      </c>
      <c r="V81" s="36">
        <f t="shared" si="1"/>
        <v>12.350435671176653</v>
      </c>
      <c r="W81" s="37">
        <f t="shared" si="2"/>
        <v>863722040.81068015</v>
      </c>
      <c r="X81" s="38">
        <f t="shared" si="3"/>
        <v>256759807.53732458</v>
      </c>
      <c r="Y81" s="39">
        <f t="shared" si="4"/>
        <v>1120481848.3480048</v>
      </c>
      <c r="Z81" s="40">
        <f t="shared" si="5"/>
        <v>1.7797841366596009E-2</v>
      </c>
      <c r="AA81" s="41">
        <f t="shared" si="6"/>
        <v>5.2907881331566908E-3</v>
      </c>
      <c r="AB81" s="42">
        <f t="shared" si="7"/>
        <v>2.30886294997527E-2</v>
      </c>
      <c r="AC81" s="59">
        <v>263999.54788080748</v>
      </c>
      <c r="AD81" s="60">
        <v>78479.499076109088</v>
      </c>
      <c r="AE81" s="60">
        <f t="shared" si="8"/>
        <v>342479.04695691657</v>
      </c>
      <c r="AF81" s="45">
        <f t="shared" si="9"/>
        <v>0.77084875768770256</v>
      </c>
      <c r="AG81" s="46">
        <f t="shared" si="10"/>
        <v>0.22915124231229747</v>
      </c>
      <c r="AH81" s="47" t="s">
        <v>115</v>
      </c>
      <c r="AI81" s="61" t="s">
        <v>39</v>
      </c>
    </row>
    <row r="82" spans="1:35" ht="15.75" customHeight="1" x14ac:dyDescent="0.35">
      <c r="A82" s="49" t="s">
        <v>122</v>
      </c>
      <c r="B82" s="50">
        <v>13.2248110357285</v>
      </c>
      <c r="C82" s="50">
        <v>12.236851672427999</v>
      </c>
      <c r="D82" s="50">
        <v>10.5753062704733</v>
      </c>
      <c r="E82" s="51">
        <v>13.8983970743827</v>
      </c>
      <c r="F82" s="52">
        <v>8.3019964100312098</v>
      </c>
      <c r="G82" s="50">
        <v>3.93434971780658</v>
      </c>
      <c r="H82" s="53">
        <v>13.2248110357285</v>
      </c>
      <c r="I82" s="54">
        <v>40097761</v>
      </c>
      <c r="J82" s="53">
        <v>2023</v>
      </c>
      <c r="K82" s="55">
        <v>2142470914401.3601</v>
      </c>
      <c r="L82" s="50">
        <v>2023</v>
      </c>
      <c r="M82" s="55">
        <v>53431.1857063879</v>
      </c>
      <c r="N82" s="51">
        <v>2023</v>
      </c>
      <c r="O82" s="52">
        <v>3.87900159788426</v>
      </c>
      <c r="P82" s="53">
        <v>2023</v>
      </c>
      <c r="Q82" s="56">
        <v>26.745000000000001</v>
      </c>
      <c r="R82" s="51">
        <v>2023</v>
      </c>
      <c r="S82" s="54">
        <f t="shared" ref="S82:U82" si="90">(AC82*40)* 48</f>
        <v>6391516183.1479559</v>
      </c>
      <c r="T82" s="57">
        <f t="shared" si="90"/>
        <v>3028965401.7604933</v>
      </c>
      <c r="U82" s="58">
        <f t="shared" si="90"/>
        <v>9420481584.9084492</v>
      </c>
      <c r="V82" s="36">
        <f t="shared" si="1"/>
        <v>75.539514581886337</v>
      </c>
      <c r="W82" s="37">
        <f t="shared" si="2"/>
        <v>170941100318.29208</v>
      </c>
      <c r="X82" s="38">
        <f t="shared" si="3"/>
        <v>81009679670.084396</v>
      </c>
      <c r="Y82" s="39">
        <f t="shared" si="4"/>
        <v>251950779988.37646</v>
      </c>
      <c r="Z82" s="40">
        <f t="shared" si="5"/>
        <v>7.9786894267386443E-2</v>
      </c>
      <c r="AA82" s="41">
        <f t="shared" si="6"/>
        <v>3.7811332291864397E-2</v>
      </c>
      <c r="AB82" s="42">
        <f t="shared" si="7"/>
        <v>0.11759822655925084</v>
      </c>
      <c r="AC82" s="59">
        <v>3328914.6787228938</v>
      </c>
      <c r="AD82" s="60">
        <v>1577586.1467502569</v>
      </c>
      <c r="AE82" s="60">
        <f t="shared" si="8"/>
        <v>4906500.8254731502</v>
      </c>
      <c r="AF82" s="45">
        <f t="shared" si="9"/>
        <v>0.67847021678670061</v>
      </c>
      <c r="AG82" s="46">
        <f t="shared" si="10"/>
        <v>0.32152978321329945</v>
      </c>
      <c r="AH82" s="47" t="s">
        <v>123</v>
      </c>
      <c r="AI82" s="48" t="s">
        <v>37</v>
      </c>
    </row>
    <row r="83" spans="1:35" ht="15.75" customHeight="1" x14ac:dyDescent="0.35">
      <c r="A83" s="49" t="s">
        <v>124</v>
      </c>
      <c r="B83" s="50">
        <v>9.7570287726294094</v>
      </c>
      <c r="C83" s="50">
        <v>10.5949765609541</v>
      </c>
      <c r="D83" s="50">
        <v>9.5230992697167505</v>
      </c>
      <c r="E83" s="51">
        <v>11.6668538521914</v>
      </c>
      <c r="F83" s="52">
        <v>6.9213409776343999</v>
      </c>
      <c r="G83" s="50">
        <v>3.4189404256742502</v>
      </c>
      <c r="H83" s="53">
        <v>9.7570287726294094</v>
      </c>
      <c r="I83" s="54">
        <v>334914895</v>
      </c>
      <c r="J83" s="53">
        <v>2023</v>
      </c>
      <c r="K83" s="55">
        <v>27720709000000</v>
      </c>
      <c r="L83" s="50">
        <v>2023</v>
      </c>
      <c r="M83" s="55">
        <v>82769.412211421601</v>
      </c>
      <c r="N83" s="51">
        <v>2023</v>
      </c>
      <c r="O83" s="52">
        <v>4.1163383837448801</v>
      </c>
      <c r="P83" s="53">
        <v>2023</v>
      </c>
      <c r="Q83" s="56">
        <v>41.475000000000001</v>
      </c>
      <c r="R83" s="51">
        <v>2024</v>
      </c>
      <c r="S83" s="54">
        <f t="shared" ref="S83:U83" si="91">(AC83*40)* 48</f>
        <v>44506755586.245544</v>
      </c>
      <c r="T83" s="57">
        <f t="shared" si="91"/>
        <v>21985038214.578182</v>
      </c>
      <c r="U83" s="58">
        <f t="shared" si="91"/>
        <v>66491793800.82373</v>
      </c>
      <c r="V83" s="36">
        <f t="shared" si="1"/>
        <v>65.643656172945612</v>
      </c>
      <c r="W83" s="37">
        <f t="shared" si="2"/>
        <v>1845917687939.5339</v>
      </c>
      <c r="X83" s="38">
        <f t="shared" si="3"/>
        <v>911829459949.63013</v>
      </c>
      <c r="Y83" s="39">
        <f t="shared" si="4"/>
        <v>2757747147889.1641</v>
      </c>
      <c r="Z83" s="40">
        <f t="shared" si="5"/>
        <v>6.6589844002169427E-2</v>
      </c>
      <c r="AA83" s="41">
        <f t="shared" si="6"/>
        <v>3.2893439339867901E-2</v>
      </c>
      <c r="AB83" s="42">
        <f t="shared" si="7"/>
        <v>9.9483283342037321E-2</v>
      </c>
      <c r="AC83" s="59">
        <v>23180601.867836218</v>
      </c>
      <c r="AD83" s="60">
        <v>11450540.736759471</v>
      </c>
      <c r="AE83" s="60">
        <f t="shared" si="8"/>
        <v>34631142.604595691</v>
      </c>
      <c r="AF83" s="45">
        <f t="shared" si="9"/>
        <v>0.66935711976075718</v>
      </c>
      <c r="AG83" s="46">
        <f t="shared" si="10"/>
        <v>0.33064288023924276</v>
      </c>
      <c r="AH83" s="47" t="s">
        <v>123</v>
      </c>
      <c r="AI83" s="48" t="s">
        <v>37</v>
      </c>
    </row>
    <row r="84" spans="1:35" ht="14.5" x14ac:dyDescent="0.35">
      <c r="A84" s="25" t="s">
        <v>125</v>
      </c>
      <c r="B84" s="26"/>
      <c r="C84" s="26">
        <v>2.5641213383719301</v>
      </c>
      <c r="D84" s="26">
        <v>1.66137892568142</v>
      </c>
      <c r="E84" s="27">
        <v>3.4668637510624398</v>
      </c>
      <c r="F84" s="28">
        <v>1.5599215470150001</v>
      </c>
      <c r="G84" s="26">
        <v>1.0074981857549401</v>
      </c>
      <c r="H84" s="29">
        <v>2.5641213383719301</v>
      </c>
      <c r="I84" s="30">
        <v>41454761</v>
      </c>
      <c r="J84" s="29">
        <v>2023</v>
      </c>
      <c r="K84" s="31">
        <v>17233051620.111698</v>
      </c>
      <c r="L84" s="26">
        <v>2023</v>
      </c>
      <c r="M84" s="31">
        <v>415.70741705908603</v>
      </c>
      <c r="N84" s="27">
        <v>2023</v>
      </c>
      <c r="O84" s="28">
        <v>2.30237251516819</v>
      </c>
      <c r="P84" s="29">
        <v>2019</v>
      </c>
      <c r="Q84" s="32">
        <v>1.1819999999999999</v>
      </c>
      <c r="R84" s="27">
        <v>2020</v>
      </c>
      <c r="S84" s="54">
        <f t="shared" ref="S84:U84" si="92">(AC84*40)* 48</f>
        <v>1241590558.2769363</v>
      </c>
      <c r="T84" s="57">
        <f t="shared" si="92"/>
        <v>801899452.76936936</v>
      </c>
      <c r="U84" s="58">
        <f t="shared" si="92"/>
        <v>2043490011.0463052</v>
      </c>
      <c r="V84" s="36">
        <f t="shared" si="1"/>
        <v>19.343965166494854</v>
      </c>
      <c r="W84" s="37">
        <f t="shared" si="2"/>
        <v>1467560039.8833387</v>
      </c>
      <c r="X84" s="38">
        <f t="shared" si="3"/>
        <v>947845153.17339456</v>
      </c>
      <c r="Y84" s="39">
        <f t="shared" si="4"/>
        <v>2415405193.0567331</v>
      </c>
      <c r="Z84" s="40">
        <f t="shared" si="5"/>
        <v>8.5159614921052881E-2</v>
      </c>
      <c r="AA84" s="41">
        <f t="shared" si="6"/>
        <v>5.5001584981456172E-2</v>
      </c>
      <c r="AB84" s="42">
        <f t="shared" si="7"/>
        <v>0.14016119990250905</v>
      </c>
      <c r="AC84" s="43">
        <v>646661.74910257093</v>
      </c>
      <c r="AD84" s="44">
        <v>417655.96498404653</v>
      </c>
      <c r="AE84" s="44">
        <f t="shared" si="8"/>
        <v>1064317.7140866173</v>
      </c>
      <c r="AF84" s="45">
        <f t="shared" si="9"/>
        <v>0.60758337528707496</v>
      </c>
      <c r="AG84" s="46">
        <f t="shared" si="10"/>
        <v>0.39241662471292521</v>
      </c>
      <c r="AH84" s="47" t="s">
        <v>126</v>
      </c>
      <c r="AI84" s="48" t="s">
        <v>127</v>
      </c>
    </row>
    <row r="85" spans="1:35" ht="14.5" x14ac:dyDescent="0.35">
      <c r="A85" s="49" t="s">
        <v>128</v>
      </c>
      <c r="B85" s="50"/>
      <c r="C85" s="50">
        <v>2.15880360149177</v>
      </c>
      <c r="D85" s="50">
        <v>1.34009937812715</v>
      </c>
      <c r="E85" s="51">
        <v>2.9775078248564002</v>
      </c>
      <c r="F85" s="52">
        <v>1.40354552181901</v>
      </c>
      <c r="G85" s="50">
        <v>0.72091974610625198</v>
      </c>
      <c r="H85" s="53">
        <v>2.15880360149177</v>
      </c>
      <c r="I85" s="54">
        <v>171466990</v>
      </c>
      <c r="J85" s="53">
        <v>2023</v>
      </c>
      <c r="K85" s="55">
        <v>437415331040.99402</v>
      </c>
      <c r="L85" s="50">
        <v>2023</v>
      </c>
      <c r="M85" s="55">
        <v>2551.0177267414201</v>
      </c>
      <c r="N85" s="51">
        <v>2023</v>
      </c>
      <c r="O85" s="52">
        <v>9.8835030377920994</v>
      </c>
      <c r="P85" s="53">
        <v>2023</v>
      </c>
      <c r="Q85" s="56">
        <v>0.70699999999999996</v>
      </c>
      <c r="R85" s="51">
        <v>2017</v>
      </c>
      <c r="S85" s="54">
        <f t="shared" ref="S85:U85" si="93">(AC85*40)* 48</f>
        <v>4620705138.3222713</v>
      </c>
      <c r="T85" s="57">
        <f t="shared" si="93"/>
        <v>2373387626.8109431</v>
      </c>
      <c r="U85" s="58">
        <f t="shared" si="93"/>
        <v>6994092765.133215</v>
      </c>
      <c r="V85" s="36">
        <f t="shared" si="1"/>
        <v>13.841659125240042</v>
      </c>
      <c r="W85" s="37">
        <f t="shared" si="2"/>
        <v>3266838532.7938457</v>
      </c>
      <c r="X85" s="38">
        <f t="shared" si="3"/>
        <v>1677985052.1553366</v>
      </c>
      <c r="Y85" s="39">
        <f t="shared" si="4"/>
        <v>4944823584.9491825</v>
      </c>
      <c r="Z85" s="40">
        <f t="shared" si="5"/>
        <v>7.4685048761760969E-3</v>
      </c>
      <c r="AA85" s="41">
        <f t="shared" si="6"/>
        <v>3.8361368088355319E-3</v>
      </c>
      <c r="AB85" s="42">
        <f t="shared" si="7"/>
        <v>1.1304641685011628E-2</v>
      </c>
      <c r="AC85" s="59">
        <v>2406617.2595428498</v>
      </c>
      <c r="AD85" s="60">
        <v>1236139.388964033</v>
      </c>
      <c r="AE85" s="60">
        <f t="shared" si="8"/>
        <v>3642756.6485068826</v>
      </c>
      <c r="AF85" s="45">
        <f t="shared" si="9"/>
        <v>0.66065825740220396</v>
      </c>
      <c r="AG85" s="46">
        <f t="shared" si="10"/>
        <v>0.33934174259779609</v>
      </c>
      <c r="AH85" s="47" t="s">
        <v>126</v>
      </c>
      <c r="AI85" s="48" t="s">
        <v>39</v>
      </c>
    </row>
    <row r="86" spans="1:35" ht="14.5" x14ac:dyDescent="0.35">
      <c r="A86" s="49" t="s">
        <v>129</v>
      </c>
      <c r="B86" s="50">
        <v>1.5705572860770101</v>
      </c>
      <c r="C86" s="50">
        <v>2.59218779157202</v>
      </c>
      <c r="D86" s="50">
        <v>0.458646414952943</v>
      </c>
      <c r="E86" s="51">
        <v>4.7257291681910898</v>
      </c>
      <c r="F86" s="52">
        <v>1.39715217397745</v>
      </c>
      <c r="G86" s="50">
        <v>1.1843950613423699</v>
      </c>
      <c r="H86" s="53">
        <v>1.5705572860770101</v>
      </c>
      <c r="I86" s="54">
        <v>1438069596</v>
      </c>
      <c r="J86" s="53">
        <v>2023</v>
      </c>
      <c r="K86" s="55">
        <v>3567551674623.0098</v>
      </c>
      <c r="L86" s="50">
        <v>2023</v>
      </c>
      <c r="M86" s="55">
        <v>2480.7920872162099</v>
      </c>
      <c r="N86" s="51">
        <v>2023</v>
      </c>
      <c r="O86" s="52">
        <v>5.6491431890792496</v>
      </c>
      <c r="P86" s="53">
        <v>2023</v>
      </c>
      <c r="Q86" s="56">
        <v>0.99</v>
      </c>
      <c r="R86" s="51">
        <v>2023</v>
      </c>
      <c r="S86" s="54">
        <f t="shared" ref="S86:U86" si="94">(AC86*40)* 48</f>
        <v>38576679597.739639</v>
      </c>
      <c r="T86" s="57">
        <f t="shared" si="94"/>
        <v>32702256525.485126</v>
      </c>
      <c r="U86" s="58">
        <f t="shared" si="94"/>
        <v>71278936123.224762</v>
      </c>
      <c r="V86" s="36">
        <f t="shared" si="1"/>
        <v>22.740385177773501</v>
      </c>
      <c r="W86" s="37">
        <f t="shared" si="2"/>
        <v>38190912801.762245</v>
      </c>
      <c r="X86" s="38">
        <f t="shared" si="3"/>
        <v>32375233960.230274</v>
      </c>
      <c r="Y86" s="39">
        <f t="shared" si="4"/>
        <v>70566146761.992523</v>
      </c>
      <c r="Z86" s="40">
        <f t="shared" si="5"/>
        <v>1.0705076277780322E-2</v>
      </c>
      <c r="AA86" s="41">
        <f t="shared" si="6"/>
        <v>9.0749166131283664E-3</v>
      </c>
      <c r="AB86" s="42">
        <f t="shared" si="7"/>
        <v>1.977999289090869E-2</v>
      </c>
      <c r="AC86" s="59">
        <v>20092020.62382273</v>
      </c>
      <c r="AD86" s="60">
        <v>17032425.273690172</v>
      </c>
      <c r="AE86" s="60">
        <f t="shared" si="8"/>
        <v>37124445.897512898</v>
      </c>
      <c r="AF86" s="45">
        <f t="shared" si="9"/>
        <v>0.54120728641417293</v>
      </c>
      <c r="AG86" s="46">
        <f t="shared" si="10"/>
        <v>0.45879271358582718</v>
      </c>
      <c r="AH86" s="47" t="s">
        <v>126</v>
      </c>
      <c r="AI86" s="48" t="s">
        <v>39</v>
      </c>
    </row>
    <row r="87" spans="1:35" ht="14.5" x14ac:dyDescent="0.35">
      <c r="A87" s="49" t="s">
        <v>130</v>
      </c>
      <c r="B87" s="50"/>
      <c r="C87" s="50">
        <v>2.19084634151845</v>
      </c>
      <c r="D87" s="50">
        <v>1.3657189141147199</v>
      </c>
      <c r="E87" s="51">
        <v>3.0159737689221799</v>
      </c>
      <c r="F87" s="52">
        <v>1.5084276851514899</v>
      </c>
      <c r="G87" s="50">
        <v>0.72584687859146502</v>
      </c>
      <c r="H87" s="53">
        <v>2.19084634151845</v>
      </c>
      <c r="I87" s="54">
        <v>29694614</v>
      </c>
      <c r="J87" s="53">
        <v>2023</v>
      </c>
      <c r="K87" s="55">
        <v>40908073366.845497</v>
      </c>
      <c r="L87" s="50">
        <v>2023</v>
      </c>
      <c r="M87" s="55">
        <v>1377.6260357129199</v>
      </c>
      <c r="N87" s="51">
        <v>2023</v>
      </c>
      <c r="O87" s="52">
        <v>7.11475951738199</v>
      </c>
      <c r="P87" s="53">
        <v>2023</v>
      </c>
      <c r="Q87" s="56">
        <v>1.0660000000000001</v>
      </c>
      <c r="R87" s="51">
        <v>2017</v>
      </c>
      <c r="S87" s="54">
        <f t="shared" ref="S87:U87" si="95">(AC87*40)* 48</f>
        <v>860009814.86375105</v>
      </c>
      <c r="T87" s="57">
        <f t="shared" si="95"/>
        <v>413831863.35126567</v>
      </c>
      <c r="U87" s="58">
        <f t="shared" si="95"/>
        <v>1273841678.2150164</v>
      </c>
      <c r="V87" s="36">
        <f t="shared" si="1"/>
        <v>13.93626006895613</v>
      </c>
      <c r="W87" s="37">
        <f t="shared" si="2"/>
        <v>916770462.6447587</v>
      </c>
      <c r="X87" s="38">
        <f t="shared" si="3"/>
        <v>441144766.3324492</v>
      </c>
      <c r="Y87" s="39">
        <f t="shared" si="4"/>
        <v>1357915228.9772079</v>
      </c>
      <c r="Z87" s="40">
        <f t="shared" si="5"/>
        <v>2.2410502064557452E-2</v>
      </c>
      <c r="AA87" s="41">
        <f t="shared" si="6"/>
        <v>1.0783806960950182E-2</v>
      </c>
      <c r="AB87" s="42">
        <f t="shared" si="7"/>
        <v>3.3194309025507636E-2</v>
      </c>
      <c r="AC87" s="59">
        <v>447921.77857487032</v>
      </c>
      <c r="AD87" s="60">
        <v>215537.42882878421</v>
      </c>
      <c r="AE87" s="60">
        <f t="shared" si="8"/>
        <v>663459.20740365447</v>
      </c>
      <c r="AF87" s="45">
        <f t="shared" si="9"/>
        <v>0.67513084990973793</v>
      </c>
      <c r="AG87" s="46">
        <f t="shared" si="10"/>
        <v>0.32486915009026218</v>
      </c>
      <c r="AH87" s="47" t="s">
        <v>126</v>
      </c>
      <c r="AI87" s="48" t="s">
        <v>39</v>
      </c>
    </row>
    <row r="88" spans="1:35" ht="14.5" x14ac:dyDescent="0.35">
      <c r="A88" s="49" t="s">
        <v>131</v>
      </c>
      <c r="B88" s="50">
        <v>1.03575423623483</v>
      </c>
      <c r="C88" s="50">
        <v>1.6202979978483301</v>
      </c>
      <c r="D88" s="50">
        <v>0.72637522972545099</v>
      </c>
      <c r="E88" s="51">
        <v>2.5142207659712201</v>
      </c>
      <c r="F88" s="52">
        <v>0.82496972969924398</v>
      </c>
      <c r="G88" s="50">
        <v>0.61266494600837096</v>
      </c>
      <c r="H88" s="53">
        <v>1.03575423623483</v>
      </c>
      <c r="I88" s="54">
        <v>247504495</v>
      </c>
      <c r="J88" s="53">
        <v>2023</v>
      </c>
      <c r="K88" s="55">
        <v>337912301397.72699</v>
      </c>
      <c r="L88" s="50">
        <v>2023</v>
      </c>
      <c r="M88" s="55">
        <v>1365.27743222493</v>
      </c>
      <c r="N88" s="51">
        <v>2023</v>
      </c>
      <c r="O88" s="52">
        <v>30.768128065700498</v>
      </c>
      <c r="P88" s="53">
        <v>2023</v>
      </c>
      <c r="Q88" s="56">
        <v>0.74</v>
      </c>
      <c r="R88" s="51">
        <v>2021</v>
      </c>
      <c r="S88" s="54">
        <f t="shared" ref="S88:U88" si="96">(AC88*40)* 48</f>
        <v>3920327353.7183599</v>
      </c>
      <c r="T88" s="57">
        <f t="shared" si="96"/>
        <v>2911436698.8672786</v>
      </c>
      <c r="U88" s="58">
        <f t="shared" si="96"/>
        <v>6831764052.585638</v>
      </c>
      <c r="V88" s="36">
        <f t="shared" si="1"/>
        <v>11.763166963360721</v>
      </c>
      <c r="W88" s="37">
        <f t="shared" si="2"/>
        <v>2901042241.7515864</v>
      </c>
      <c r="X88" s="38">
        <f t="shared" si="3"/>
        <v>2154463157.1617861</v>
      </c>
      <c r="Y88" s="39">
        <f t="shared" si="4"/>
        <v>5055505398.913372</v>
      </c>
      <c r="Z88" s="40">
        <f t="shared" si="5"/>
        <v>8.5851927549006977E-3</v>
      </c>
      <c r="AA88" s="41">
        <f t="shared" si="6"/>
        <v>6.3758056402508888E-3</v>
      </c>
      <c r="AB88" s="42">
        <f t="shared" si="7"/>
        <v>1.4960998395151586E-2</v>
      </c>
      <c r="AC88" s="59">
        <v>2041837.163394979</v>
      </c>
      <c r="AD88" s="60">
        <v>1516373.2806600409</v>
      </c>
      <c r="AE88" s="60">
        <f t="shared" si="8"/>
        <v>3558210.4440550199</v>
      </c>
      <c r="AF88" s="45">
        <f t="shared" si="9"/>
        <v>0.57383822443847743</v>
      </c>
      <c r="AG88" s="46">
        <f t="shared" si="10"/>
        <v>0.42616177556152257</v>
      </c>
      <c r="AH88" s="47" t="s">
        <v>126</v>
      </c>
      <c r="AI88" s="48" t="s">
        <v>39</v>
      </c>
    </row>
    <row r="89" spans="1:35" ht="14.5" x14ac:dyDescent="0.35">
      <c r="A89" s="49" t="s">
        <v>132</v>
      </c>
      <c r="B89" s="50"/>
      <c r="C89" s="50">
        <v>1.8803672505218401</v>
      </c>
      <c r="D89" s="50">
        <v>1.0494676860079599</v>
      </c>
      <c r="E89" s="51">
        <v>2.71126681503572</v>
      </c>
      <c r="F89" s="52">
        <v>1.25818138186541</v>
      </c>
      <c r="G89" s="50">
        <v>0.55126522323420002</v>
      </c>
      <c r="H89" s="53">
        <v>1.8803672505218401</v>
      </c>
      <c r="I89" s="54">
        <v>22037000</v>
      </c>
      <c r="J89" s="53">
        <v>2023</v>
      </c>
      <c r="K89" s="55">
        <v>84356863743.633499</v>
      </c>
      <c r="L89" s="50">
        <v>2023</v>
      </c>
      <c r="M89" s="55">
        <v>3827.9649563748899</v>
      </c>
      <c r="N89" s="51">
        <v>2023</v>
      </c>
      <c r="O89" s="52">
        <v>16.541174227983198</v>
      </c>
      <c r="P89" s="53">
        <v>2023</v>
      </c>
      <c r="Q89" s="56">
        <v>1.196</v>
      </c>
      <c r="R89" s="51">
        <v>2021</v>
      </c>
      <c r="S89" s="54">
        <f t="shared" ref="S89:U89" si="97">(AC89*40)* 48</f>
        <v>532349627.75362641</v>
      </c>
      <c r="T89" s="57">
        <f t="shared" si="97"/>
        <v>233246049.10871172</v>
      </c>
      <c r="U89" s="58">
        <f t="shared" si="97"/>
        <v>765595676.86233807</v>
      </c>
      <c r="V89" s="36">
        <f t="shared" si="1"/>
        <v>10.584292286096643</v>
      </c>
      <c r="W89" s="37">
        <f t="shared" si="2"/>
        <v>636690154.79333711</v>
      </c>
      <c r="X89" s="38">
        <f t="shared" si="3"/>
        <v>278962274.73401922</v>
      </c>
      <c r="Y89" s="39">
        <f t="shared" si="4"/>
        <v>915652429.52735639</v>
      </c>
      <c r="Z89" s="40">
        <f t="shared" si="5"/>
        <v>7.5475797289985044E-3</v>
      </c>
      <c r="AA89" s="41">
        <f t="shared" si="6"/>
        <v>3.3069303712120615E-3</v>
      </c>
      <c r="AB89" s="42">
        <f t="shared" si="7"/>
        <v>1.0854510100210567E-2</v>
      </c>
      <c r="AC89" s="59">
        <v>277265.43112168042</v>
      </c>
      <c r="AD89" s="60">
        <v>121482.3172441207</v>
      </c>
      <c r="AE89" s="60">
        <f t="shared" si="8"/>
        <v>398747.74836580112</v>
      </c>
      <c r="AF89" s="45">
        <f t="shared" si="9"/>
        <v>0.69534043078112662</v>
      </c>
      <c r="AG89" s="46">
        <f t="shared" si="10"/>
        <v>0.30465956921887338</v>
      </c>
      <c r="AH89" s="47" t="s">
        <v>126</v>
      </c>
      <c r="AI89" s="48" t="s">
        <v>39</v>
      </c>
    </row>
    <row r="90" spans="1:35" ht="14.5" x14ac:dyDescent="0.35">
      <c r="A90" s="49" t="s">
        <v>133</v>
      </c>
      <c r="B90" s="50"/>
      <c r="C90" s="50">
        <v>2.6902517091680802</v>
      </c>
      <c r="D90" s="50">
        <v>1.8913657105863699</v>
      </c>
      <c r="E90" s="51">
        <v>3.48913770774978</v>
      </c>
      <c r="F90" s="52">
        <v>1.69489284553789</v>
      </c>
      <c r="G90" s="50">
        <v>1.05308091299059</v>
      </c>
      <c r="H90" s="53">
        <v>2.6902517091680802</v>
      </c>
      <c r="I90" s="54">
        <v>14111034</v>
      </c>
      <c r="J90" s="53">
        <v>2023</v>
      </c>
      <c r="K90" s="55">
        <v>19676049075.701099</v>
      </c>
      <c r="L90" s="50">
        <v>2023</v>
      </c>
      <c r="M90" s="55">
        <v>1394.37330217623</v>
      </c>
      <c r="N90" s="51">
        <v>2023</v>
      </c>
      <c r="O90" s="52">
        <v>2.7310246528023301</v>
      </c>
      <c r="P90" s="53">
        <v>2023</v>
      </c>
      <c r="Q90" s="56">
        <v>1.1930000000000001</v>
      </c>
      <c r="R90" s="51">
        <v>2011</v>
      </c>
      <c r="S90" s="54">
        <f t="shared" ref="S90:U90" si="98">(AC90*40)* 48</f>
        <v>459200458.93904471</v>
      </c>
      <c r="T90" s="57">
        <f t="shared" si="98"/>
        <v>285313162.9048562</v>
      </c>
      <c r="U90" s="58">
        <f t="shared" si="98"/>
        <v>744513621.8439008</v>
      </c>
      <c r="V90" s="36">
        <f t="shared" si="1"/>
        <v>20.219153529419334</v>
      </c>
      <c r="W90" s="37">
        <f t="shared" si="2"/>
        <v>547826147.51428032</v>
      </c>
      <c r="X90" s="38">
        <f t="shared" si="3"/>
        <v>340378603.3454935</v>
      </c>
      <c r="Y90" s="39">
        <f t="shared" si="4"/>
        <v>888204750.85977387</v>
      </c>
      <c r="Z90" s="40">
        <f t="shared" si="5"/>
        <v>2.7842284058480889E-2</v>
      </c>
      <c r="AA90" s="41">
        <f t="shared" si="6"/>
        <v>1.7299133684609651E-2</v>
      </c>
      <c r="AB90" s="42">
        <f t="shared" si="7"/>
        <v>4.5141417743090537E-2</v>
      </c>
      <c r="AC90" s="59">
        <v>239166.9056974191</v>
      </c>
      <c r="AD90" s="60">
        <v>148600.60567961261</v>
      </c>
      <c r="AE90" s="60">
        <f t="shared" si="8"/>
        <v>387767.51137703168</v>
      </c>
      <c r="AF90" s="45">
        <f t="shared" si="9"/>
        <v>0.61677912326407824</v>
      </c>
      <c r="AG90" s="46">
        <f t="shared" si="10"/>
        <v>0.38322087673592181</v>
      </c>
      <c r="AH90" s="47" t="s">
        <v>134</v>
      </c>
      <c r="AI90" s="48" t="s">
        <v>39</v>
      </c>
    </row>
    <row r="91" spans="1:35" ht="14.5" x14ac:dyDescent="0.35">
      <c r="A91" s="49" t="s">
        <v>135</v>
      </c>
      <c r="B91" s="50"/>
      <c r="C91" s="50">
        <v>6.5946383179884798</v>
      </c>
      <c r="D91" s="50">
        <v>5.8672074131611804</v>
      </c>
      <c r="E91" s="51">
        <v>7.3220692228157702</v>
      </c>
      <c r="F91" s="52">
        <v>4.1260424696956601</v>
      </c>
      <c r="G91" s="50">
        <v>2.8939373823515999</v>
      </c>
      <c r="H91" s="53">
        <v>6.5946383179884798</v>
      </c>
      <c r="I91" s="54">
        <v>2480244</v>
      </c>
      <c r="J91" s="53">
        <v>2023</v>
      </c>
      <c r="K91" s="55">
        <v>19396084498.0084</v>
      </c>
      <c r="L91" s="50">
        <v>2023</v>
      </c>
      <c r="M91" s="55">
        <v>7820.2324037507597</v>
      </c>
      <c r="N91" s="51">
        <v>2023</v>
      </c>
      <c r="O91" s="52">
        <v>5.0676154934383</v>
      </c>
      <c r="P91" s="53">
        <v>2023</v>
      </c>
      <c r="Q91" s="56">
        <v>2.919</v>
      </c>
      <c r="R91" s="51">
        <v>2023</v>
      </c>
      <c r="S91" s="54">
        <f t="shared" ref="S91:U91" si="99">(AC91*40)* 48</f>
        <v>196484967.92079049</v>
      </c>
      <c r="T91" s="57">
        <f t="shared" si="99"/>
        <v>137811279.91590261</v>
      </c>
      <c r="U91" s="58">
        <f t="shared" si="99"/>
        <v>334296247.83669317</v>
      </c>
      <c r="V91" s="36">
        <f t="shared" si="1"/>
        <v>55.563597741150716</v>
      </c>
      <c r="W91" s="37">
        <f t="shared" si="2"/>
        <v>573539621.36078751</v>
      </c>
      <c r="X91" s="38">
        <f t="shared" si="3"/>
        <v>402271126.07451975</v>
      </c>
      <c r="Y91" s="39">
        <f t="shared" si="4"/>
        <v>975810747.43530726</v>
      </c>
      <c r="Z91" s="40">
        <f t="shared" si="5"/>
        <v>2.9569866094349036E-2</v>
      </c>
      <c r="AA91" s="41">
        <f t="shared" si="6"/>
        <v>2.0739810971426999E-2</v>
      </c>
      <c r="AB91" s="42">
        <f t="shared" si="7"/>
        <v>5.0309677065776034E-2</v>
      </c>
      <c r="AC91" s="59">
        <v>102335.9207920784</v>
      </c>
      <c r="AD91" s="60">
        <v>71776.708289532617</v>
      </c>
      <c r="AE91" s="60">
        <f t="shared" si="8"/>
        <v>174112.629081611</v>
      </c>
      <c r="AF91" s="45">
        <f t="shared" si="9"/>
        <v>0.58775702447242328</v>
      </c>
      <c r="AG91" s="46">
        <f t="shared" si="10"/>
        <v>0.41224297552757677</v>
      </c>
      <c r="AH91" s="47" t="s">
        <v>134</v>
      </c>
      <c r="AI91" s="48" t="s">
        <v>44</v>
      </c>
    </row>
    <row r="92" spans="1:35" ht="14.5" x14ac:dyDescent="0.35">
      <c r="A92" s="49" t="s">
        <v>136</v>
      </c>
      <c r="B92" s="50"/>
      <c r="C92" s="50">
        <v>2.8991569209581001</v>
      </c>
      <c r="D92" s="50">
        <v>2.0016630208300001</v>
      </c>
      <c r="E92" s="51">
        <v>3.7966508210861898</v>
      </c>
      <c r="F92" s="52">
        <v>1.93130700453093</v>
      </c>
      <c r="G92" s="50">
        <v>1.0849595577115601</v>
      </c>
      <c r="H92" s="53">
        <v>2.8991569209581001</v>
      </c>
      <c r="I92" s="54">
        <v>23025776</v>
      </c>
      <c r="J92" s="53">
        <v>2023</v>
      </c>
      <c r="K92" s="55">
        <v>20324617844.526501</v>
      </c>
      <c r="L92" s="50">
        <v>2023</v>
      </c>
      <c r="M92" s="55">
        <v>882.68981008616299</v>
      </c>
      <c r="N92" s="51">
        <v>2023</v>
      </c>
      <c r="O92" s="52">
        <v>0.74291042866884105</v>
      </c>
      <c r="P92" s="53">
        <v>2023</v>
      </c>
      <c r="Q92" s="56">
        <v>1.0681624999999999</v>
      </c>
      <c r="R92" s="51">
        <v>2023</v>
      </c>
      <c r="S92" s="54">
        <f t="shared" ref="S92:U92" si="100">(AC92*40)* 48</f>
        <v>853820975.49235547</v>
      </c>
      <c r="T92" s="57">
        <f t="shared" si="100"/>
        <v>479655086.30256861</v>
      </c>
      <c r="U92" s="58">
        <f t="shared" si="100"/>
        <v>1333476061.7949238</v>
      </c>
      <c r="V92" s="36">
        <f t="shared" si="1"/>
        <v>20.831223508061949</v>
      </c>
      <c r="W92" s="37">
        <f t="shared" si="2"/>
        <v>912019547.73435307</v>
      </c>
      <c r="X92" s="38">
        <f t="shared" si="3"/>
        <v>512349576.12266737</v>
      </c>
      <c r="Y92" s="39">
        <f t="shared" si="4"/>
        <v>1424369123.8570204</v>
      </c>
      <c r="Z92" s="40">
        <f t="shared" si="5"/>
        <v>4.4872654172927712E-2</v>
      </c>
      <c r="AA92" s="41">
        <f t="shared" si="6"/>
        <v>2.5208325196660223E-2</v>
      </c>
      <c r="AB92" s="42">
        <f t="shared" si="7"/>
        <v>7.0080979369587931E-2</v>
      </c>
      <c r="AC92" s="59">
        <v>444698.42473560182</v>
      </c>
      <c r="AD92" s="60">
        <v>249820.35744925449</v>
      </c>
      <c r="AE92" s="60">
        <f t="shared" si="8"/>
        <v>694518.78218485625</v>
      </c>
      <c r="AF92" s="45">
        <f t="shared" si="9"/>
        <v>0.64029719014458397</v>
      </c>
      <c r="AG92" s="46">
        <f t="shared" si="10"/>
        <v>0.35970280985541608</v>
      </c>
      <c r="AH92" s="47" t="s">
        <v>134</v>
      </c>
      <c r="AI92" s="48" t="s">
        <v>127</v>
      </c>
    </row>
    <row r="93" spans="1:35" ht="14.5" x14ac:dyDescent="0.35">
      <c r="A93" s="49" t="s">
        <v>137</v>
      </c>
      <c r="B93" s="50"/>
      <c r="C93" s="50">
        <v>4.8806441631690598</v>
      </c>
      <c r="D93" s="50">
        <v>3.7587012167924301</v>
      </c>
      <c r="E93" s="51">
        <v>6.0025871095456997</v>
      </c>
      <c r="F93" s="52">
        <v>2.8362617753030901</v>
      </c>
      <c r="G93" s="50">
        <v>2.2680668948761098</v>
      </c>
      <c r="H93" s="53">
        <v>4.8806441631690598</v>
      </c>
      <c r="I93" s="54">
        <v>522331</v>
      </c>
      <c r="J93" s="53">
        <v>2023</v>
      </c>
      <c r="K93" s="55">
        <v>2533819406.4916</v>
      </c>
      <c r="L93" s="50">
        <v>2023</v>
      </c>
      <c r="M93" s="55">
        <v>4850.9841584964297</v>
      </c>
      <c r="N93" s="51">
        <v>2023</v>
      </c>
      <c r="O93" s="52">
        <v>3.72437517668748</v>
      </c>
      <c r="P93" s="53">
        <v>2023</v>
      </c>
      <c r="Q93" s="56">
        <v>2.0245000000000002</v>
      </c>
      <c r="R93" s="51">
        <v>2015</v>
      </c>
      <c r="S93" s="54">
        <f t="shared" ref="S93:U93" si="101">(AC93*40)* 48</f>
        <v>28444175.027632087</v>
      </c>
      <c r="T93" s="57">
        <f t="shared" si="101"/>
        <v>22745887.665936634</v>
      </c>
      <c r="U93" s="58">
        <f t="shared" si="101"/>
        <v>51190062.693568714</v>
      </c>
      <c r="V93" s="36">
        <f t="shared" si="1"/>
        <v>43.546884381621297</v>
      </c>
      <c r="W93" s="37">
        <f t="shared" si="2"/>
        <v>57585232.343441166</v>
      </c>
      <c r="X93" s="38">
        <f t="shared" si="3"/>
        <v>46049049.57968872</v>
      </c>
      <c r="Y93" s="39">
        <f t="shared" si="4"/>
        <v>103634281.92312989</v>
      </c>
      <c r="Z93" s="40">
        <f t="shared" si="5"/>
        <v>2.2726652182041399E-2</v>
      </c>
      <c r="AA93" s="41">
        <f t="shared" si="6"/>
        <v>1.8173769394027008E-2</v>
      </c>
      <c r="AB93" s="42">
        <f t="shared" si="7"/>
        <v>4.0900421576068408E-2</v>
      </c>
      <c r="AC93" s="59">
        <v>14814.674493558379</v>
      </c>
      <c r="AD93" s="60">
        <v>11846.816492675331</v>
      </c>
      <c r="AE93" s="60">
        <f t="shared" si="8"/>
        <v>26661.490986233708</v>
      </c>
      <c r="AF93" s="45">
        <f t="shared" si="9"/>
        <v>0.5556581400945555</v>
      </c>
      <c r="AG93" s="46">
        <f t="shared" si="10"/>
        <v>0.44434185990544456</v>
      </c>
      <c r="AH93" s="47" t="s">
        <v>134</v>
      </c>
      <c r="AI93" s="48" t="s">
        <v>39</v>
      </c>
    </row>
    <row r="94" spans="1:35" ht="14.5" x14ac:dyDescent="0.35">
      <c r="A94" s="49" t="s">
        <v>138</v>
      </c>
      <c r="B94" s="50"/>
      <c r="C94" s="50">
        <v>2.8435107141223801</v>
      </c>
      <c r="D94" s="50">
        <v>1.9049133998901</v>
      </c>
      <c r="E94" s="51">
        <v>3.78210802835466</v>
      </c>
      <c r="F94" s="52">
        <v>1.6453984460426101</v>
      </c>
      <c r="G94" s="50">
        <v>1.3930649025085999</v>
      </c>
      <c r="H94" s="53">
        <v>2.8435107141223801</v>
      </c>
      <c r="I94" s="54">
        <v>19319064</v>
      </c>
      <c r="J94" s="53">
        <v>2023</v>
      </c>
      <c r="K94" s="55">
        <v>13149325362.3347</v>
      </c>
      <c r="L94" s="50">
        <v>2023</v>
      </c>
      <c r="M94" s="55">
        <v>680.63987791202896</v>
      </c>
      <c r="N94" s="51">
        <v>2023</v>
      </c>
      <c r="O94" s="52">
        <v>10.8363568399842</v>
      </c>
      <c r="P94" s="53">
        <v>2023</v>
      </c>
      <c r="Q94" s="56">
        <v>1.36978125</v>
      </c>
      <c r="R94" s="51">
        <v>2018</v>
      </c>
      <c r="S94" s="54">
        <f t="shared" ref="S94:U94" si="102">(AC94*40)* 48</f>
        <v>610321111.38427639</v>
      </c>
      <c r="T94" s="57">
        <f t="shared" si="102"/>
        <v>516724032.14817417</v>
      </c>
      <c r="U94" s="58">
        <f t="shared" si="102"/>
        <v>1127045143.5324507</v>
      </c>
      <c r="V94" s="36">
        <f t="shared" si="1"/>
        <v>26.746846128165121</v>
      </c>
      <c r="W94" s="37">
        <f t="shared" si="2"/>
        <v>836006414.85334337</v>
      </c>
      <c r="X94" s="38">
        <f t="shared" si="3"/>
        <v>707798890.66096616</v>
      </c>
      <c r="Y94" s="39">
        <f t="shared" si="4"/>
        <v>1543805305.5143094</v>
      </c>
      <c r="Z94" s="40">
        <f t="shared" si="5"/>
        <v>6.357789406048342E-2</v>
      </c>
      <c r="AA94" s="41">
        <f t="shared" si="6"/>
        <v>5.3827772236011845E-2</v>
      </c>
      <c r="AB94" s="42">
        <f t="shared" si="7"/>
        <v>0.11740566629649526</v>
      </c>
      <c r="AC94" s="59">
        <v>317875.57884597732</v>
      </c>
      <c r="AD94" s="60">
        <v>269127.10007717402</v>
      </c>
      <c r="AE94" s="60">
        <f t="shared" si="8"/>
        <v>587002.67892315134</v>
      </c>
      <c r="AF94" s="45">
        <f t="shared" si="9"/>
        <v>0.54152321660459179</v>
      </c>
      <c r="AG94" s="46">
        <f t="shared" si="10"/>
        <v>0.45847678339540821</v>
      </c>
      <c r="AH94" s="47" t="s">
        <v>134</v>
      </c>
      <c r="AI94" s="48" t="s">
        <v>127</v>
      </c>
    </row>
    <row r="95" spans="1:35" ht="14.5" x14ac:dyDescent="0.35">
      <c r="A95" s="49" t="s">
        <v>139</v>
      </c>
      <c r="B95" s="50"/>
      <c r="C95" s="50">
        <v>2.8139460142510799</v>
      </c>
      <c r="D95" s="50">
        <v>1.9603681477625099</v>
      </c>
      <c r="E95" s="51">
        <v>3.6675238807396502</v>
      </c>
      <c r="F95" s="52">
        <v>1.7267567209697099</v>
      </c>
      <c r="G95" s="50">
        <v>1.18864028760048</v>
      </c>
      <c r="H95" s="53">
        <v>2.8139460142510799</v>
      </c>
      <c r="I95" s="54">
        <v>31165654</v>
      </c>
      <c r="J95" s="53">
        <v>2023</v>
      </c>
      <c r="K95" s="55">
        <v>78875489245.053802</v>
      </c>
      <c r="L95" s="50">
        <v>2023</v>
      </c>
      <c r="M95" s="55">
        <v>2530.8465930172301</v>
      </c>
      <c r="N95" s="51">
        <v>2023</v>
      </c>
      <c r="O95" s="52">
        <v>4.3871170700327902</v>
      </c>
      <c r="P95" s="53">
        <v>2023</v>
      </c>
      <c r="Q95" s="56">
        <v>1.786</v>
      </c>
      <c r="R95" s="51">
        <v>2019</v>
      </c>
      <c r="S95" s="54">
        <f t="shared" ref="S95:U95" si="103">(AC95*40)* 48</f>
        <v>1033257648.1519972</v>
      </c>
      <c r="T95" s="57">
        <f t="shared" si="103"/>
        <v>711259237.12928736</v>
      </c>
      <c r="U95" s="58">
        <f t="shared" si="103"/>
        <v>1744516885.2812843</v>
      </c>
      <c r="V95" s="36">
        <f t="shared" si="1"/>
        <v>22.821893521929216</v>
      </c>
      <c r="W95" s="37">
        <f t="shared" si="2"/>
        <v>1845398159.599467</v>
      </c>
      <c r="X95" s="38">
        <f t="shared" si="3"/>
        <v>1270308997.5129073</v>
      </c>
      <c r="Y95" s="39">
        <f t="shared" si="4"/>
        <v>3115707157.1123743</v>
      </c>
      <c r="Z95" s="40">
        <f t="shared" si="5"/>
        <v>2.3396345014939986E-2</v>
      </c>
      <c r="AA95" s="41">
        <f t="shared" si="6"/>
        <v>1.6105243969596891E-2</v>
      </c>
      <c r="AB95" s="42">
        <f t="shared" si="7"/>
        <v>3.9501588984536873E-2</v>
      </c>
      <c r="AC95" s="59">
        <v>538155.02507916524</v>
      </c>
      <c r="AD95" s="60">
        <v>370447.51933817047</v>
      </c>
      <c r="AE95" s="60">
        <f t="shared" si="8"/>
        <v>908602.54441733565</v>
      </c>
      <c r="AF95" s="45">
        <f t="shared" si="9"/>
        <v>0.59228870575557402</v>
      </c>
      <c r="AG95" s="46">
        <f t="shared" si="10"/>
        <v>0.40771129424442598</v>
      </c>
      <c r="AH95" s="47" t="s">
        <v>134</v>
      </c>
      <c r="AI95" s="48" t="s">
        <v>39</v>
      </c>
    </row>
    <row r="96" spans="1:35" ht="14.5" x14ac:dyDescent="0.35">
      <c r="A96" s="49" t="s">
        <v>140</v>
      </c>
      <c r="B96" s="50"/>
      <c r="C96" s="50">
        <v>3.9994325394763299</v>
      </c>
      <c r="D96" s="50">
        <v>3.1976582824139301</v>
      </c>
      <c r="E96" s="51">
        <v>4.8012067965387297</v>
      </c>
      <c r="F96" s="52">
        <v>2.57515809337503</v>
      </c>
      <c r="G96" s="50">
        <v>1.4126854767067001</v>
      </c>
      <c r="H96" s="53">
        <v>3.9994325394763299</v>
      </c>
      <c r="I96" s="54">
        <v>2697845</v>
      </c>
      <c r="J96" s="53">
        <v>2023</v>
      </c>
      <c r="K96" s="55">
        <v>2396111021.64149</v>
      </c>
      <c r="L96" s="50">
        <v>2023</v>
      </c>
      <c r="M96" s="55">
        <v>888.157407724123</v>
      </c>
      <c r="N96" s="51">
        <v>2023</v>
      </c>
      <c r="O96" s="52">
        <v>16.974212963232699</v>
      </c>
      <c r="P96" s="53">
        <v>2023</v>
      </c>
      <c r="Q96" s="56">
        <v>0.48299999999999998</v>
      </c>
      <c r="R96" s="51">
        <v>2018</v>
      </c>
      <c r="S96" s="54">
        <f t="shared" ref="S96:U96" si="104">(AC96*40)* 48</f>
        <v>133389645.81929009</v>
      </c>
      <c r="T96" s="57">
        <f t="shared" si="104"/>
        <v>73175163.838191122</v>
      </c>
      <c r="U96" s="58">
        <f t="shared" si="104"/>
        <v>206564809.65748119</v>
      </c>
      <c r="V96" s="36">
        <f t="shared" si="1"/>
        <v>27.123561152768644</v>
      </c>
      <c r="W96" s="37">
        <f t="shared" si="2"/>
        <v>64427198.930717111</v>
      </c>
      <c r="X96" s="38">
        <f t="shared" si="3"/>
        <v>35343604.133846313</v>
      </c>
      <c r="Y96" s="39">
        <f t="shared" si="4"/>
        <v>99770803.064563423</v>
      </c>
      <c r="Z96" s="40">
        <f t="shared" si="5"/>
        <v>2.6888236124626787E-2</v>
      </c>
      <c r="AA96" s="41">
        <f t="shared" si="6"/>
        <v>1.4750403388918797E-2</v>
      </c>
      <c r="AB96" s="42">
        <f t="shared" si="7"/>
        <v>4.1638639513545586E-2</v>
      </c>
      <c r="AC96" s="59">
        <v>69473.773864213581</v>
      </c>
      <c r="AD96" s="60">
        <v>38112.064499057873</v>
      </c>
      <c r="AE96" s="60">
        <f t="shared" si="8"/>
        <v>107585.83836327145</v>
      </c>
      <c r="AF96" s="45">
        <f t="shared" si="9"/>
        <v>0.64575203317773389</v>
      </c>
      <c r="AG96" s="46">
        <f t="shared" si="10"/>
        <v>0.35424796682226611</v>
      </c>
      <c r="AH96" s="47" t="s">
        <v>134</v>
      </c>
      <c r="AI96" s="48" t="s">
        <v>127</v>
      </c>
    </row>
    <row r="97" spans="1:35" ht="14.5" x14ac:dyDescent="0.35">
      <c r="A97" s="49" t="s">
        <v>141</v>
      </c>
      <c r="B97" s="50"/>
      <c r="C97" s="50">
        <v>2.7302696726399098</v>
      </c>
      <c r="D97" s="50">
        <v>1.9299453232699999</v>
      </c>
      <c r="E97" s="51">
        <v>3.5305940220098302</v>
      </c>
      <c r="F97" s="52">
        <v>1.6995564117437001</v>
      </c>
      <c r="G97" s="50">
        <v>1.0421880543601001</v>
      </c>
      <c r="H97" s="53">
        <v>2.7302696726399098</v>
      </c>
      <c r="I97" s="54">
        <v>33787914</v>
      </c>
      <c r="J97" s="53">
        <v>2023</v>
      </c>
      <c r="K97" s="55">
        <v>76370396722.154007</v>
      </c>
      <c r="L97" s="50">
        <v>2023</v>
      </c>
      <c r="M97" s="55">
        <v>2260.2874128942699</v>
      </c>
      <c r="N97" s="51">
        <v>2023</v>
      </c>
      <c r="O97" s="52">
        <v>38.106965629650098</v>
      </c>
      <c r="P97" s="53">
        <v>2023</v>
      </c>
      <c r="Q97" s="56">
        <v>1.623</v>
      </c>
      <c r="R97" s="51">
        <v>2022</v>
      </c>
      <c r="S97" s="54">
        <f t="shared" ref="S97:U97" si="105">(AC97*40)* 48</f>
        <v>1102549744.860379</v>
      </c>
      <c r="T97" s="57">
        <f t="shared" si="105"/>
        <v>676096518.76889038</v>
      </c>
      <c r="U97" s="58">
        <f t="shared" si="105"/>
        <v>1778646263.6292694</v>
      </c>
      <c r="V97" s="36">
        <f t="shared" si="1"/>
        <v>20.010010643713915</v>
      </c>
      <c r="W97" s="37">
        <f t="shared" si="2"/>
        <v>1789438235.9083951</v>
      </c>
      <c r="X97" s="38">
        <f t="shared" si="3"/>
        <v>1097304649.9619091</v>
      </c>
      <c r="Y97" s="39">
        <f t="shared" si="4"/>
        <v>2886742885.8703041</v>
      </c>
      <c r="Z97" s="40">
        <f t="shared" si="5"/>
        <v>2.3431045440533944E-2</v>
      </c>
      <c r="AA97" s="41">
        <f t="shared" si="6"/>
        <v>1.4368193659567517E-2</v>
      </c>
      <c r="AB97" s="42">
        <f t="shared" si="7"/>
        <v>3.779923910010146E-2</v>
      </c>
      <c r="AC97" s="59">
        <v>574244.65878144733</v>
      </c>
      <c r="AD97" s="60">
        <v>352133.60352546378</v>
      </c>
      <c r="AE97" s="60">
        <f t="shared" si="8"/>
        <v>926378.26230691117</v>
      </c>
      <c r="AF97" s="45">
        <f t="shared" si="9"/>
        <v>0.61988140497968502</v>
      </c>
      <c r="AG97" s="46">
        <f t="shared" si="10"/>
        <v>0.38011859502031486</v>
      </c>
      <c r="AH97" s="47" t="s">
        <v>134</v>
      </c>
      <c r="AI97" s="48" t="s">
        <v>39</v>
      </c>
    </row>
    <row r="98" spans="1:35" ht="14.5" x14ac:dyDescent="0.35">
      <c r="A98" s="49" t="s">
        <v>142</v>
      </c>
      <c r="B98" s="50"/>
      <c r="C98" s="50">
        <v>3.5647722487008902</v>
      </c>
      <c r="D98" s="50">
        <v>2.8064232945933401</v>
      </c>
      <c r="E98" s="51">
        <v>4.3231212028084398</v>
      </c>
      <c r="F98" s="52">
        <v>2.1353275619015202</v>
      </c>
      <c r="G98" s="50">
        <v>1.3791504309043501</v>
      </c>
      <c r="H98" s="53">
        <v>3.5647722487008902</v>
      </c>
      <c r="I98" s="54">
        <v>2153339</v>
      </c>
      <c r="J98" s="53">
        <v>2023</v>
      </c>
      <c r="K98" s="55">
        <v>2048348108.35852</v>
      </c>
      <c r="L98" s="50">
        <v>2023</v>
      </c>
      <c r="M98" s="55">
        <v>951.24274828929401</v>
      </c>
      <c r="N98" s="51">
        <v>2023</v>
      </c>
      <c r="O98" s="52">
        <v>9.3938387745659107</v>
      </c>
      <c r="P98" s="53">
        <v>2022</v>
      </c>
      <c r="Q98" s="56">
        <v>0.88114999999999999</v>
      </c>
      <c r="R98" s="51">
        <v>2022</v>
      </c>
      <c r="S98" s="54">
        <f t="shared" ref="S98:U98" si="106">(AC98*40)* 48</f>
        <v>88283215.042895198</v>
      </c>
      <c r="T98" s="57">
        <f t="shared" si="106"/>
        <v>57019745.466876328</v>
      </c>
      <c r="U98" s="58">
        <f t="shared" si="106"/>
        <v>145302960.5097715</v>
      </c>
      <c r="V98" s="36">
        <f t="shared" si="1"/>
        <v>26.479688273363518</v>
      </c>
      <c r="W98" s="37">
        <f t="shared" si="2"/>
        <v>77790754.935047105</v>
      </c>
      <c r="X98" s="38">
        <f t="shared" si="3"/>
        <v>50242948.718138076</v>
      </c>
      <c r="Y98" s="39">
        <f t="shared" si="4"/>
        <v>128033703.65318519</v>
      </c>
      <c r="Z98" s="40">
        <f t="shared" si="5"/>
        <v>3.7977311872729534E-2</v>
      </c>
      <c r="AA98" s="41">
        <f t="shared" si="6"/>
        <v>2.4528520573781354E-2</v>
      </c>
      <c r="AB98" s="42">
        <f t="shared" si="7"/>
        <v>6.2505832446510895E-2</v>
      </c>
      <c r="AC98" s="59">
        <v>45980.841168174578</v>
      </c>
      <c r="AD98" s="60">
        <v>29697.78409733142</v>
      </c>
      <c r="AE98" s="60">
        <f t="shared" si="8"/>
        <v>75678.625265505994</v>
      </c>
      <c r="AF98" s="45">
        <f t="shared" si="9"/>
        <v>0.60758029109089084</v>
      </c>
      <c r="AG98" s="46">
        <f t="shared" si="10"/>
        <v>0.39241970890910921</v>
      </c>
      <c r="AH98" s="47" t="s">
        <v>134</v>
      </c>
      <c r="AI98" s="48" t="s">
        <v>127</v>
      </c>
    </row>
    <row r="99" spans="1:35" ht="14.5" x14ac:dyDescent="0.35">
      <c r="A99" s="49" t="s">
        <v>143</v>
      </c>
      <c r="B99" s="50">
        <v>2.1848826926078102</v>
      </c>
      <c r="C99" s="50">
        <v>2.3016958677648902</v>
      </c>
      <c r="D99" s="50">
        <v>1.5000128368007399</v>
      </c>
      <c r="E99" s="51">
        <v>3.1033788987290398</v>
      </c>
      <c r="F99" s="52">
        <v>1.3523457449538501</v>
      </c>
      <c r="G99" s="50">
        <v>1.0201581830415201</v>
      </c>
      <c r="H99" s="53">
        <v>2.1848826926078102</v>
      </c>
      <c r="I99" s="54">
        <v>55339003</v>
      </c>
      <c r="J99" s="53">
        <v>2023</v>
      </c>
      <c r="K99" s="55">
        <v>108038588970.595</v>
      </c>
      <c r="L99" s="50">
        <v>2023</v>
      </c>
      <c r="M99" s="55">
        <v>1952.3045792963601</v>
      </c>
      <c r="N99" s="51">
        <v>2023</v>
      </c>
      <c r="O99" s="52">
        <v>7.6713963402940202</v>
      </c>
      <c r="P99" s="53">
        <v>2023</v>
      </c>
      <c r="Q99" s="56">
        <v>0.98099999999999998</v>
      </c>
      <c r="R99" s="51">
        <v>2019</v>
      </c>
      <c r="S99" s="54">
        <f t="shared" ref="S99:U99" si="107">(AC99*40)* 48</f>
        <v>1436879332.5511363</v>
      </c>
      <c r="T99" s="57">
        <f t="shared" si="107"/>
        <v>1083927105.6347373</v>
      </c>
      <c r="U99" s="58">
        <f t="shared" si="107"/>
        <v>2520806438.1858735</v>
      </c>
      <c r="V99" s="36">
        <f t="shared" si="1"/>
        <v>19.587037114397187</v>
      </c>
      <c r="W99" s="37">
        <f t="shared" si="2"/>
        <v>1409578625.2326646</v>
      </c>
      <c r="X99" s="38">
        <f t="shared" si="3"/>
        <v>1063332490.6276772</v>
      </c>
      <c r="Y99" s="39">
        <f t="shared" si="4"/>
        <v>2472911115.860342</v>
      </c>
      <c r="Z99" s="40">
        <f t="shared" si="5"/>
        <v>1.3046992178103246E-2</v>
      </c>
      <c r="AA99" s="41">
        <f t="shared" si="6"/>
        <v>9.8421545556938526E-3</v>
      </c>
      <c r="AB99" s="42">
        <f t="shared" si="7"/>
        <v>2.2889146733797099E-2</v>
      </c>
      <c r="AC99" s="59">
        <v>748374.6523703835</v>
      </c>
      <c r="AD99" s="60">
        <v>564545.36751809227</v>
      </c>
      <c r="AE99" s="60">
        <f t="shared" si="8"/>
        <v>1312920.0198884758</v>
      </c>
      <c r="AF99" s="45">
        <f t="shared" si="9"/>
        <v>0.57000780019635411</v>
      </c>
      <c r="AG99" s="46">
        <f t="shared" si="10"/>
        <v>0.42999219980364595</v>
      </c>
      <c r="AH99" s="47" t="s">
        <v>134</v>
      </c>
      <c r="AI99" s="48" t="s">
        <v>39</v>
      </c>
    </row>
    <row r="100" spans="1:35" ht="15.75" customHeight="1" x14ac:dyDescent="0.35">
      <c r="A100" s="49" t="s">
        <v>144</v>
      </c>
      <c r="B100" s="50"/>
      <c r="C100" s="50">
        <v>2.86096999564682</v>
      </c>
      <c r="D100" s="50">
        <v>2.0087431273927598</v>
      </c>
      <c r="E100" s="51">
        <v>3.7131968639008699</v>
      </c>
      <c r="F100" s="52">
        <v>1.78090519677279</v>
      </c>
      <c r="G100" s="50">
        <v>0.961374464948475</v>
      </c>
      <c r="H100" s="53">
        <v>2.86096999564682</v>
      </c>
      <c r="I100" s="54">
        <v>2311472</v>
      </c>
      <c r="J100" s="53">
        <v>2023</v>
      </c>
      <c r="K100" s="55">
        <v>2117962450.7946899</v>
      </c>
      <c r="L100" s="50">
        <v>2023</v>
      </c>
      <c r="M100" s="55">
        <v>916.28297932862199</v>
      </c>
      <c r="N100" s="51">
        <v>2023</v>
      </c>
      <c r="O100" s="52">
        <v>6.3422174312495301</v>
      </c>
      <c r="P100" s="53">
        <v>2023</v>
      </c>
      <c r="Q100" s="56">
        <v>1.39</v>
      </c>
      <c r="R100" s="51">
        <v>2019</v>
      </c>
      <c r="S100" s="54">
        <f t="shared" ref="S100:U100" si="108">(AC100*40)* 48</f>
        <v>79037039.942300037</v>
      </c>
      <c r="T100" s="57">
        <f t="shared" si="108"/>
        <v>42666051.019072913</v>
      </c>
      <c r="U100" s="58">
        <f t="shared" si="108"/>
        <v>121703090.96137294</v>
      </c>
      <c r="V100" s="36">
        <f t="shared" si="1"/>
        <v>18.458389727010715</v>
      </c>
      <c r="W100" s="37">
        <f t="shared" si="2"/>
        <v>109861485.51979704</v>
      </c>
      <c r="X100" s="38">
        <f t="shared" si="3"/>
        <v>59305810.916511342</v>
      </c>
      <c r="Y100" s="39">
        <f t="shared" si="4"/>
        <v>169167296.43630838</v>
      </c>
      <c r="Z100" s="40">
        <f t="shared" si="5"/>
        <v>5.1871309370274926E-2</v>
      </c>
      <c r="AA100" s="41">
        <f t="shared" si="6"/>
        <v>2.8001351437679619E-2</v>
      </c>
      <c r="AB100" s="42">
        <f t="shared" si="7"/>
        <v>7.9872660807954549E-2</v>
      </c>
      <c r="AC100" s="59">
        <v>41165.124969947938</v>
      </c>
      <c r="AD100" s="60">
        <v>22221.90157243381</v>
      </c>
      <c r="AE100" s="60">
        <f t="shared" si="8"/>
        <v>63387.026542381747</v>
      </c>
      <c r="AF100" s="45">
        <f t="shared" si="9"/>
        <v>0.64942508294539059</v>
      </c>
      <c r="AG100" s="46">
        <f t="shared" si="10"/>
        <v>0.35057491705460947</v>
      </c>
      <c r="AH100" s="47" t="s">
        <v>134</v>
      </c>
      <c r="AI100" s="48" t="s">
        <v>39</v>
      </c>
    </row>
    <row r="101" spans="1:35" ht="15.75" customHeight="1" x14ac:dyDescent="0.35">
      <c r="A101" s="49" t="s">
        <v>145</v>
      </c>
      <c r="B101" s="50"/>
      <c r="C101" s="50">
        <v>3.4446165674904701</v>
      </c>
      <c r="D101" s="50">
        <v>2.6357326795379401</v>
      </c>
      <c r="E101" s="51">
        <v>4.2535004554430103</v>
      </c>
      <c r="F101" s="52">
        <v>2.1819578188818798</v>
      </c>
      <c r="G101" s="50">
        <v>1.51639648764885</v>
      </c>
      <c r="H101" s="53">
        <v>3.4446165674904701</v>
      </c>
      <c r="I101" s="54">
        <v>5493031</v>
      </c>
      <c r="J101" s="53">
        <v>2023</v>
      </c>
      <c r="K101" s="55">
        <v>4240000000</v>
      </c>
      <c r="L101" s="50">
        <v>2023</v>
      </c>
      <c r="M101" s="55">
        <v>771.88714208967701</v>
      </c>
      <c r="N101" s="51">
        <v>2023</v>
      </c>
      <c r="O101" s="52">
        <v>10.094453566555201</v>
      </c>
      <c r="P101" s="53">
        <v>2023</v>
      </c>
      <c r="Q101" s="56">
        <v>1.1000000000000001</v>
      </c>
      <c r="R101" s="51">
        <v>2016</v>
      </c>
      <c r="S101" s="54">
        <f t="shared" ref="S101:U101" si="109">(AC101*40)* 48</f>
        <v>230122789.24436253</v>
      </c>
      <c r="T101" s="57">
        <f t="shared" si="109"/>
        <v>159928567.966968</v>
      </c>
      <c r="U101" s="58">
        <f t="shared" si="109"/>
        <v>390051357.21133053</v>
      </c>
      <c r="V101" s="36">
        <f t="shared" si="1"/>
        <v>29.114812562857921</v>
      </c>
      <c r="W101" s="37">
        <f t="shared" si="2"/>
        <v>253135068.1687988</v>
      </c>
      <c r="X101" s="38">
        <f t="shared" si="3"/>
        <v>175921424.76366481</v>
      </c>
      <c r="Y101" s="39">
        <f t="shared" si="4"/>
        <v>429056492.93246365</v>
      </c>
      <c r="Z101" s="40">
        <f t="shared" si="5"/>
        <v>5.9701667020943115E-2</v>
      </c>
      <c r="AA101" s="41">
        <f t="shared" si="6"/>
        <v>4.1490902066902077E-2</v>
      </c>
      <c r="AB101" s="42">
        <f t="shared" si="7"/>
        <v>0.10119256908784519</v>
      </c>
      <c r="AC101" s="59">
        <v>119855.6193981055</v>
      </c>
      <c r="AD101" s="60">
        <v>83296.129149462504</v>
      </c>
      <c r="AE101" s="60">
        <f t="shared" si="8"/>
        <v>203151.74854756799</v>
      </c>
      <c r="AF101" s="45">
        <f t="shared" si="9"/>
        <v>0.58998074225308128</v>
      </c>
      <c r="AG101" s="46">
        <f t="shared" si="10"/>
        <v>0.41001925774691872</v>
      </c>
      <c r="AH101" s="47" t="s">
        <v>134</v>
      </c>
      <c r="AI101" s="48" t="s">
        <v>127</v>
      </c>
    </row>
    <row r="102" spans="1:35" ht="15.75" customHeight="1" x14ac:dyDescent="0.35">
      <c r="A102" s="49" t="s">
        <v>146</v>
      </c>
      <c r="B102" s="50"/>
      <c r="C102" s="50">
        <v>2.7708155785030502</v>
      </c>
      <c r="D102" s="50">
        <v>1.7839260437292199</v>
      </c>
      <c r="E102" s="51">
        <v>3.7577051132768702</v>
      </c>
      <c r="F102" s="52">
        <v>1.67625798656174</v>
      </c>
      <c r="G102" s="50">
        <v>1.2808018476215699</v>
      </c>
      <c r="H102" s="53">
        <v>2.7708155785030502</v>
      </c>
      <c r="I102" s="54">
        <v>23769127</v>
      </c>
      <c r="J102" s="53">
        <v>2023</v>
      </c>
      <c r="K102" s="55">
        <v>20661794596.087299</v>
      </c>
      <c r="L102" s="50">
        <v>2023</v>
      </c>
      <c r="M102" s="55">
        <v>869.27023428699204</v>
      </c>
      <c r="N102" s="51">
        <v>2023</v>
      </c>
      <c r="O102" s="52">
        <v>2.0588022827421399</v>
      </c>
      <c r="P102" s="53">
        <v>2023</v>
      </c>
      <c r="Q102" s="56">
        <v>0.80200000000000005</v>
      </c>
      <c r="R102" s="51">
        <v>2020</v>
      </c>
      <c r="S102" s="54">
        <f t="shared" ref="S102:U102" si="110">(AC102*40)* 48</f>
        <v>764989228.17312551</v>
      </c>
      <c r="T102" s="57">
        <f t="shared" si="110"/>
        <v>584516002.13667345</v>
      </c>
      <c r="U102" s="58">
        <f t="shared" si="110"/>
        <v>1349505230.309799</v>
      </c>
      <c r="V102" s="36">
        <f t="shared" si="1"/>
        <v>24.591395474334142</v>
      </c>
      <c r="W102" s="37">
        <f t="shared" si="2"/>
        <v>613521360.9948467</v>
      </c>
      <c r="X102" s="38">
        <f t="shared" si="3"/>
        <v>468781833.71361214</v>
      </c>
      <c r="Y102" s="39">
        <f t="shared" si="4"/>
        <v>1082303194.7084589</v>
      </c>
      <c r="Z102" s="40">
        <f t="shared" si="5"/>
        <v>2.9693517576204562E-2</v>
      </c>
      <c r="AA102" s="41">
        <f t="shared" si="6"/>
        <v>2.268834062469989E-2</v>
      </c>
      <c r="AB102" s="42">
        <f t="shared" si="7"/>
        <v>5.2381858200904449E-2</v>
      </c>
      <c r="AC102" s="59">
        <v>398431.88967350288</v>
      </c>
      <c r="AD102" s="60">
        <v>304435.41777951742</v>
      </c>
      <c r="AE102" s="60">
        <f t="shared" si="8"/>
        <v>702867.30745302024</v>
      </c>
      <c r="AF102" s="45">
        <f t="shared" si="9"/>
        <v>0.56686644185699897</v>
      </c>
      <c r="AG102" s="46">
        <f t="shared" si="10"/>
        <v>0.43313355814300114</v>
      </c>
      <c r="AH102" s="47" t="s">
        <v>134</v>
      </c>
      <c r="AI102" s="48" t="s">
        <v>127</v>
      </c>
    </row>
    <row r="103" spans="1:35" ht="15.75" customHeight="1" x14ac:dyDescent="0.35">
      <c r="A103" s="49" t="s">
        <v>147</v>
      </c>
      <c r="B103" s="50"/>
      <c r="C103" s="50">
        <v>3.1274427259619202</v>
      </c>
      <c r="D103" s="50">
        <v>2.2934802412976798</v>
      </c>
      <c r="E103" s="51">
        <v>3.9614052106261499</v>
      </c>
      <c r="F103" s="52">
        <v>2.1656705618137702</v>
      </c>
      <c r="G103" s="50">
        <v>0.99205556354121405</v>
      </c>
      <c r="H103" s="53">
        <v>3.1274427259619202</v>
      </c>
      <c r="I103" s="54">
        <v>5022441</v>
      </c>
      <c r="J103" s="53">
        <v>2023</v>
      </c>
      <c r="K103" s="55">
        <v>10651709411.4594</v>
      </c>
      <c r="L103" s="50">
        <v>2023</v>
      </c>
      <c r="M103" s="55">
        <v>2120.8232035895298</v>
      </c>
      <c r="N103" s="51">
        <v>2023</v>
      </c>
      <c r="O103" s="52">
        <v>4.9530503450687204</v>
      </c>
      <c r="P103" s="53">
        <v>2023</v>
      </c>
      <c r="Q103" s="56">
        <v>3.3</v>
      </c>
      <c r="R103" s="51">
        <v>2023</v>
      </c>
      <c r="S103" s="54">
        <f t="shared" ref="S103:U103" si="111">(AC103*40)* 48</f>
        <v>208837490.345213</v>
      </c>
      <c r="T103" s="57">
        <f t="shared" si="111"/>
        <v>95664778.302863985</v>
      </c>
      <c r="U103" s="58">
        <f t="shared" si="111"/>
        <v>304502268.64807695</v>
      </c>
      <c r="V103" s="36">
        <f t="shared" si="1"/>
        <v>19.04746681999131</v>
      </c>
      <c r="W103" s="37">
        <f t="shared" si="2"/>
        <v>689163718.13920283</v>
      </c>
      <c r="X103" s="38">
        <f t="shared" si="3"/>
        <v>315693768.39945114</v>
      </c>
      <c r="Y103" s="39">
        <f t="shared" si="4"/>
        <v>1004857486.538654</v>
      </c>
      <c r="Z103" s="40">
        <f t="shared" si="5"/>
        <v>6.4699823429071546E-2</v>
      </c>
      <c r="AA103" s="41">
        <f t="shared" si="6"/>
        <v>2.9637850245878766E-2</v>
      </c>
      <c r="AB103" s="42">
        <f t="shared" si="7"/>
        <v>9.4337673674950315E-2</v>
      </c>
      <c r="AC103" s="59">
        <v>108769.5262214651</v>
      </c>
      <c r="AD103" s="60">
        <v>49825.405366074992</v>
      </c>
      <c r="AE103" s="60">
        <f t="shared" si="8"/>
        <v>158594.93158754008</v>
      </c>
      <c r="AF103" s="45">
        <f t="shared" si="9"/>
        <v>0.68583229698880566</v>
      </c>
      <c r="AG103" s="46">
        <f t="shared" si="10"/>
        <v>0.31416770301119445</v>
      </c>
      <c r="AH103" s="47" t="s">
        <v>134</v>
      </c>
      <c r="AI103" s="48" t="s">
        <v>39</v>
      </c>
    </row>
    <row r="104" spans="1:35" ht="15.75" customHeight="1" x14ac:dyDescent="0.35">
      <c r="A104" s="49" t="s">
        <v>148</v>
      </c>
      <c r="B104" s="50"/>
      <c r="C104" s="50">
        <v>5.31304241685545</v>
      </c>
      <c r="D104" s="50">
        <v>4.0017692317795301</v>
      </c>
      <c r="E104" s="51">
        <v>6.62431560193136</v>
      </c>
      <c r="F104" s="52">
        <v>3.4435687136723998</v>
      </c>
      <c r="G104" s="50">
        <v>2.1609631467683701</v>
      </c>
      <c r="H104" s="53">
        <v>5.31304241685545</v>
      </c>
      <c r="I104" s="54">
        <v>1261041</v>
      </c>
      <c r="J104" s="53">
        <v>2023</v>
      </c>
      <c r="K104" s="55">
        <v>14644524819.0054</v>
      </c>
      <c r="L104" s="50">
        <v>2023</v>
      </c>
      <c r="M104" s="55">
        <v>11613.044158758799</v>
      </c>
      <c r="N104" s="51">
        <v>2023</v>
      </c>
      <c r="O104" s="52">
        <v>7.0529823845474304</v>
      </c>
      <c r="P104" s="53">
        <v>2023</v>
      </c>
      <c r="Q104" s="56">
        <v>3.2570000000000001</v>
      </c>
      <c r="R104" s="51">
        <v>2023</v>
      </c>
      <c r="S104" s="54">
        <f t="shared" ref="S104:U104" si="112">(AC104*40)* 48</f>
        <v>83375641.617756605</v>
      </c>
      <c r="T104" s="57">
        <f t="shared" si="112"/>
        <v>52321212.049227498</v>
      </c>
      <c r="U104" s="58">
        <f t="shared" si="112"/>
        <v>135696853.66698411</v>
      </c>
      <c r="V104" s="36">
        <f t="shared" si="1"/>
        <v>41.490492417952709</v>
      </c>
      <c r="W104" s="37">
        <f t="shared" si="2"/>
        <v>271554464.74903327</v>
      </c>
      <c r="X104" s="38">
        <f t="shared" si="3"/>
        <v>170410187.64433396</v>
      </c>
      <c r="Y104" s="39">
        <f t="shared" si="4"/>
        <v>441964652.39336723</v>
      </c>
      <c r="Z104" s="40">
        <f t="shared" si="5"/>
        <v>1.8543071086650403E-2</v>
      </c>
      <c r="AA104" s="41">
        <f t="shared" si="6"/>
        <v>1.163644363681768E-2</v>
      </c>
      <c r="AB104" s="42">
        <f t="shared" si="7"/>
        <v>3.0179514723468082E-2</v>
      </c>
      <c r="AC104" s="59">
        <v>43424.813342581569</v>
      </c>
      <c r="AD104" s="60">
        <v>27250.63127563932</v>
      </c>
      <c r="AE104" s="60">
        <f t="shared" si="8"/>
        <v>70675.444618220892</v>
      </c>
      <c r="AF104" s="45">
        <f t="shared" si="9"/>
        <v>0.61442575391151033</v>
      </c>
      <c r="AG104" s="46">
        <f t="shared" si="10"/>
        <v>0.38557424608848961</v>
      </c>
      <c r="AH104" s="47" t="s">
        <v>134</v>
      </c>
      <c r="AI104" s="48" t="s">
        <v>44</v>
      </c>
    </row>
    <row r="105" spans="1:35" ht="15.75" customHeight="1" x14ac:dyDescent="0.35">
      <c r="A105" s="49" t="s">
        <v>149</v>
      </c>
      <c r="B105" s="50"/>
      <c r="C105" s="50">
        <v>4.5370678377757896</v>
      </c>
      <c r="D105" s="50">
        <v>3.4837405032176898</v>
      </c>
      <c r="E105" s="51">
        <v>5.5903951723338796</v>
      </c>
      <c r="F105" s="52">
        <v>2.9631705156680499</v>
      </c>
      <c r="G105" s="50">
        <v>1.7643739707730199</v>
      </c>
      <c r="H105" s="53">
        <v>4.5370678377757896</v>
      </c>
      <c r="I105" s="54">
        <v>2963095</v>
      </c>
      <c r="J105" s="53">
        <v>2023</v>
      </c>
      <c r="K105" s="55">
        <v>12351025066.913099</v>
      </c>
      <c r="L105" s="50">
        <v>2023</v>
      </c>
      <c r="M105" s="55">
        <v>4168.2852108734696</v>
      </c>
      <c r="N105" s="51">
        <v>2023</v>
      </c>
      <c r="O105" s="52">
        <v>5.8799346328427502</v>
      </c>
      <c r="P105" s="53">
        <v>2023</v>
      </c>
      <c r="Q105" s="56">
        <v>3.004</v>
      </c>
      <c r="R105" s="51">
        <v>2018</v>
      </c>
      <c r="S105" s="54">
        <f t="shared" ref="S105:U105" si="113">(AC105*40)* 48</f>
        <v>168578990.19116968</v>
      </c>
      <c r="T105" s="57">
        <f t="shared" si="113"/>
        <v>100377747.66581149</v>
      </c>
      <c r="U105" s="58">
        <f t="shared" si="113"/>
        <v>268956737.85698122</v>
      </c>
      <c r="V105" s="36">
        <f t="shared" si="1"/>
        <v>33.875980238841983</v>
      </c>
      <c r="W105" s="37">
        <f t="shared" si="2"/>
        <v>506411286.53427374</v>
      </c>
      <c r="X105" s="38">
        <f t="shared" si="3"/>
        <v>301534753.98809773</v>
      </c>
      <c r="Y105" s="39">
        <f t="shared" si="4"/>
        <v>807946040.52237153</v>
      </c>
      <c r="Z105" s="40">
        <f t="shared" si="5"/>
        <v>4.1001559286839136E-2</v>
      </c>
      <c r="AA105" s="41">
        <f t="shared" si="6"/>
        <v>2.4413743179574045E-2</v>
      </c>
      <c r="AB105" s="42">
        <f t="shared" si="7"/>
        <v>6.541530246641318E-2</v>
      </c>
      <c r="AC105" s="59">
        <v>87801.557391234208</v>
      </c>
      <c r="AD105" s="60">
        <v>52280.076909276817</v>
      </c>
      <c r="AE105" s="60">
        <f t="shared" si="8"/>
        <v>140081.63430051104</v>
      </c>
      <c r="AF105" s="45">
        <f t="shared" si="9"/>
        <v>0.62678849964640859</v>
      </c>
      <c r="AG105" s="46">
        <f t="shared" si="10"/>
        <v>0.37321150035359124</v>
      </c>
      <c r="AH105" s="47" t="s">
        <v>134</v>
      </c>
      <c r="AI105" s="61" t="s">
        <v>44</v>
      </c>
    </row>
    <row r="106" spans="1:35" ht="15.75" customHeight="1" x14ac:dyDescent="0.35">
      <c r="A106" s="49" t="s">
        <v>150</v>
      </c>
      <c r="B106" s="50"/>
      <c r="C106" s="50">
        <v>2.6883923752232799</v>
      </c>
      <c r="D106" s="50">
        <v>1.77777783306949</v>
      </c>
      <c r="E106" s="51">
        <v>3.5990069173770798</v>
      </c>
      <c r="F106" s="52">
        <v>1.87632137727814</v>
      </c>
      <c r="G106" s="50">
        <v>0.87551446289545498</v>
      </c>
      <c r="H106" s="53">
        <v>2.6883923752232799</v>
      </c>
      <c r="I106" s="54">
        <v>26159867</v>
      </c>
      <c r="J106" s="53">
        <v>2023</v>
      </c>
      <c r="K106" s="55">
        <v>16819170420.5653</v>
      </c>
      <c r="L106" s="50">
        <v>2023</v>
      </c>
      <c r="M106" s="55">
        <v>642.93791786347094</v>
      </c>
      <c r="N106" s="51">
        <v>2023</v>
      </c>
      <c r="O106" s="52">
        <v>3.70097316425842</v>
      </c>
      <c r="P106" s="53">
        <v>2023</v>
      </c>
      <c r="Q106" s="56">
        <v>0.75228125000000001</v>
      </c>
      <c r="R106" s="51">
        <v>2022</v>
      </c>
      <c r="S106" s="54">
        <f t="shared" ref="S106:U106" si="114">(AC106*40)* 48</f>
        <v>942418899.43397677</v>
      </c>
      <c r="T106" s="57">
        <f t="shared" si="114"/>
        <v>439744164.59369338</v>
      </c>
      <c r="U106" s="58">
        <f t="shared" si="114"/>
        <v>1382163064.0276704</v>
      </c>
      <c r="V106" s="36">
        <f t="shared" si="1"/>
        <v>16.809877687592731</v>
      </c>
      <c r="W106" s="37">
        <f t="shared" si="2"/>
        <v>708964067.68981636</v>
      </c>
      <c r="X106" s="38">
        <f t="shared" si="3"/>
        <v>330811289.8207494</v>
      </c>
      <c r="Y106" s="39">
        <f t="shared" si="4"/>
        <v>1039775357.5105658</v>
      </c>
      <c r="Z106" s="40">
        <f t="shared" si="5"/>
        <v>4.2152142463753435E-2</v>
      </c>
      <c r="AA106" s="41">
        <f t="shared" si="6"/>
        <v>1.9668704314706069E-2</v>
      </c>
      <c r="AB106" s="42">
        <f t="shared" si="7"/>
        <v>6.1820846778459504E-2</v>
      </c>
      <c r="AC106" s="59">
        <v>490843.17678852961</v>
      </c>
      <c r="AD106" s="60">
        <v>229033.41905921529</v>
      </c>
      <c r="AE106" s="60">
        <f t="shared" si="8"/>
        <v>719876.59584774496</v>
      </c>
      <c r="AF106" s="45">
        <f t="shared" si="9"/>
        <v>0.68184349876036765</v>
      </c>
      <c r="AG106" s="46">
        <f t="shared" si="10"/>
        <v>0.31815650123963224</v>
      </c>
      <c r="AH106" s="47" t="s">
        <v>134</v>
      </c>
      <c r="AI106" s="48" t="s">
        <v>127</v>
      </c>
    </row>
    <row r="107" spans="1:35" ht="15.75" customHeight="1" x14ac:dyDescent="0.35">
      <c r="A107" s="49" t="s">
        <v>151</v>
      </c>
      <c r="B107" s="50"/>
      <c r="C107" s="50">
        <v>2.5516283374657598</v>
      </c>
      <c r="D107" s="50">
        <v>1.5957164182526999</v>
      </c>
      <c r="E107" s="51">
        <v>3.5075402566788201</v>
      </c>
      <c r="F107" s="52">
        <v>1.4612551008588099</v>
      </c>
      <c r="G107" s="50">
        <v>1.09960611496643</v>
      </c>
      <c r="H107" s="53">
        <v>2.5516283374657598</v>
      </c>
      <c r="I107" s="54">
        <v>227882945</v>
      </c>
      <c r="J107" s="53">
        <v>2023</v>
      </c>
      <c r="K107" s="55">
        <v>363846332834.61798</v>
      </c>
      <c r="L107" s="50">
        <v>2023</v>
      </c>
      <c r="M107" s="55">
        <v>1596.63696129001</v>
      </c>
      <c r="N107" s="51">
        <v>2023</v>
      </c>
      <c r="O107" s="52">
        <v>24.659550203113898</v>
      </c>
      <c r="P107" s="53">
        <v>2023</v>
      </c>
      <c r="Q107" s="56">
        <v>2.08</v>
      </c>
      <c r="R107" s="51">
        <v>2013</v>
      </c>
      <c r="S107" s="54">
        <f t="shared" ref="S107:U107" si="115">(AC107*40)* 48</f>
        <v>6393506222.9755707</v>
      </c>
      <c r="T107" s="57">
        <f t="shared" si="115"/>
        <v>4811164412.516325</v>
      </c>
      <c r="U107" s="58">
        <f t="shared" si="115"/>
        <v>11204670635.491894</v>
      </c>
      <c r="V107" s="36">
        <f t="shared" si="1"/>
        <v>21.112437407355451</v>
      </c>
      <c r="W107" s="37">
        <f t="shared" si="2"/>
        <v>13298492943.789188</v>
      </c>
      <c r="X107" s="38">
        <f t="shared" si="3"/>
        <v>10007221978.033957</v>
      </c>
      <c r="Y107" s="39">
        <f t="shared" si="4"/>
        <v>23305714921.823143</v>
      </c>
      <c r="Z107" s="40">
        <f t="shared" si="5"/>
        <v>3.6549751210035862E-2</v>
      </c>
      <c r="AA107" s="41">
        <f t="shared" si="6"/>
        <v>2.7503979221312147E-2</v>
      </c>
      <c r="AB107" s="42">
        <f t="shared" si="7"/>
        <v>6.4053730431348016E-2</v>
      </c>
      <c r="AC107" s="59">
        <v>3329951.1577997762</v>
      </c>
      <c r="AD107" s="60">
        <v>2505814.798185586</v>
      </c>
      <c r="AE107" s="60">
        <f t="shared" si="8"/>
        <v>5835765.9559853617</v>
      </c>
      <c r="AF107" s="45">
        <f t="shared" si="9"/>
        <v>0.57061081320172957</v>
      </c>
      <c r="AG107" s="46">
        <f t="shared" si="10"/>
        <v>0.42938918679827048</v>
      </c>
      <c r="AH107" s="47" t="s">
        <v>134</v>
      </c>
      <c r="AI107" s="48" t="s">
        <v>39</v>
      </c>
    </row>
    <row r="108" spans="1:35" ht="15.75" customHeight="1" x14ac:dyDescent="0.35">
      <c r="A108" s="49" t="s">
        <v>152</v>
      </c>
      <c r="B108" s="50"/>
      <c r="C108" s="50">
        <v>2.4049929096687599</v>
      </c>
      <c r="D108" s="50">
        <v>1.5488094526915801</v>
      </c>
      <c r="E108" s="51">
        <v>3.2611763666459401</v>
      </c>
      <c r="F108" s="52">
        <v>1.40516263392875</v>
      </c>
      <c r="G108" s="50">
        <v>1.0321477273336801</v>
      </c>
      <c r="H108" s="53">
        <v>2.4049929096687599</v>
      </c>
      <c r="I108" s="54">
        <v>13954471</v>
      </c>
      <c r="J108" s="53">
        <v>2023</v>
      </c>
      <c r="K108" s="55">
        <v>14097768472.188299</v>
      </c>
      <c r="L108" s="50">
        <v>2023</v>
      </c>
      <c r="M108" s="55">
        <v>1010.2689290183999</v>
      </c>
      <c r="N108" s="51">
        <v>2023</v>
      </c>
      <c r="O108" s="52">
        <v>19.789546746467</v>
      </c>
      <c r="P108" s="53">
        <v>2023</v>
      </c>
      <c r="Q108" s="56">
        <v>0.45500000000000002</v>
      </c>
      <c r="R108" s="51">
        <v>2023</v>
      </c>
      <c r="S108" s="54">
        <f t="shared" ref="S108:U108" si="116">(AC108*40)* 48</f>
        <v>376479383.52849329</v>
      </c>
      <c r="T108" s="57">
        <f t="shared" si="116"/>
        <v>276539050.15283978</v>
      </c>
      <c r="U108" s="58">
        <f t="shared" si="116"/>
        <v>653018433.68133318</v>
      </c>
      <c r="V108" s="36">
        <f t="shared" si="1"/>
        <v>19.817236364806647</v>
      </c>
      <c r="W108" s="37">
        <f t="shared" si="2"/>
        <v>171298119.50546446</v>
      </c>
      <c r="X108" s="38">
        <f t="shared" si="3"/>
        <v>125825267.81954211</v>
      </c>
      <c r="Y108" s="39">
        <f t="shared" si="4"/>
        <v>297123387.3250066</v>
      </c>
      <c r="Z108" s="40">
        <f t="shared" si="5"/>
        <v>1.2150725828942135E-2</v>
      </c>
      <c r="AA108" s="41">
        <f t="shared" si="6"/>
        <v>8.925190399300913E-3</v>
      </c>
      <c r="AB108" s="42">
        <f t="shared" si="7"/>
        <v>2.107591622824305E-2</v>
      </c>
      <c r="AC108" s="59">
        <v>196083.01225442361</v>
      </c>
      <c r="AD108" s="60">
        <v>144030.75528793741</v>
      </c>
      <c r="AE108" s="60">
        <f t="shared" si="8"/>
        <v>340113.76754236105</v>
      </c>
      <c r="AF108" s="45">
        <f t="shared" si="9"/>
        <v>0.57652183171327087</v>
      </c>
      <c r="AG108" s="46">
        <f t="shared" si="10"/>
        <v>0.42347816828672902</v>
      </c>
      <c r="AH108" s="47" t="s">
        <v>134</v>
      </c>
      <c r="AI108" s="48" t="s">
        <v>127</v>
      </c>
    </row>
    <row r="109" spans="1:35" ht="15.75" customHeight="1" x14ac:dyDescent="0.35">
      <c r="A109" s="49" t="s">
        <v>153</v>
      </c>
      <c r="B109" s="50"/>
      <c r="C109" s="50">
        <v>2.8229397102235101</v>
      </c>
      <c r="D109" s="50">
        <v>1.8944694147240699</v>
      </c>
      <c r="E109" s="51">
        <v>3.7514100057229598</v>
      </c>
      <c r="F109" s="52">
        <v>2.0703961706251701</v>
      </c>
      <c r="G109" s="50">
        <v>0.75271845720686403</v>
      </c>
      <c r="H109" s="53">
        <v>2.8229397102235101</v>
      </c>
      <c r="I109" s="54">
        <v>18077573</v>
      </c>
      <c r="J109" s="53">
        <v>2023</v>
      </c>
      <c r="K109" s="55">
        <v>30848333083.705502</v>
      </c>
      <c r="L109" s="50">
        <v>2023</v>
      </c>
      <c r="M109" s="55">
        <v>1706.4421802476199</v>
      </c>
      <c r="N109" s="51">
        <v>2023</v>
      </c>
      <c r="O109" s="52">
        <v>5.9394779877321504</v>
      </c>
      <c r="P109" s="53">
        <v>2023</v>
      </c>
      <c r="Q109" s="56">
        <v>0.81699999999999995</v>
      </c>
      <c r="R109" s="51">
        <v>2019</v>
      </c>
      <c r="S109" s="54">
        <f t="shared" ref="S109:U109" si="117">(AC109*40)* 48</f>
        <v>718612567.93722188</v>
      </c>
      <c r="T109" s="57">
        <f t="shared" si="117"/>
        <v>261260598.88520563</v>
      </c>
      <c r="U109" s="58">
        <f t="shared" si="117"/>
        <v>979873166.82242739</v>
      </c>
      <c r="V109" s="36">
        <f t="shared" si="1"/>
        <v>14.452194378371788</v>
      </c>
      <c r="W109" s="37">
        <f t="shared" si="2"/>
        <v>587106468.0047102</v>
      </c>
      <c r="X109" s="38">
        <f t="shared" si="3"/>
        <v>213449909.28921297</v>
      </c>
      <c r="Y109" s="39">
        <f t="shared" si="4"/>
        <v>800556377.29392314</v>
      </c>
      <c r="Z109" s="40">
        <f t="shared" si="5"/>
        <v>1.9032032181824036E-2</v>
      </c>
      <c r="AA109" s="41">
        <f t="shared" si="6"/>
        <v>6.9193336544320456E-3</v>
      </c>
      <c r="AB109" s="42">
        <f t="shared" si="7"/>
        <v>2.5951365836256082E-2</v>
      </c>
      <c r="AC109" s="59">
        <v>374277.37913396972</v>
      </c>
      <c r="AD109" s="60">
        <v>136073.2285860446</v>
      </c>
      <c r="AE109" s="60">
        <f t="shared" si="8"/>
        <v>510350.60772001429</v>
      </c>
      <c r="AF109" s="45">
        <f t="shared" si="9"/>
        <v>0.73337304486821286</v>
      </c>
      <c r="AG109" s="46">
        <f t="shared" si="10"/>
        <v>0.26662695513178725</v>
      </c>
      <c r="AH109" s="47" t="s">
        <v>134</v>
      </c>
      <c r="AI109" s="48" t="s">
        <v>39</v>
      </c>
    </row>
    <row r="110" spans="1:35" ht="15.75" customHeight="1" x14ac:dyDescent="0.35">
      <c r="A110" s="49" t="s">
        <v>154</v>
      </c>
      <c r="B110" s="50"/>
      <c r="C110" s="50">
        <v>3.1918441662668902</v>
      </c>
      <c r="D110" s="50">
        <v>2.3518430886082999</v>
      </c>
      <c r="E110" s="51">
        <v>4.0318452439254804</v>
      </c>
      <c r="F110" s="52">
        <v>1.88848327519504</v>
      </c>
      <c r="G110" s="50">
        <v>1.4871308320472001</v>
      </c>
      <c r="H110" s="53">
        <v>3.1918441662668902</v>
      </c>
      <c r="I110" s="54">
        <v>8460512</v>
      </c>
      <c r="J110" s="53">
        <v>2023</v>
      </c>
      <c r="K110" s="55">
        <v>6411869546.2892904</v>
      </c>
      <c r="L110" s="50">
        <v>2023</v>
      </c>
      <c r="M110" s="55">
        <v>757.85833603087997</v>
      </c>
      <c r="N110" s="51">
        <v>2023</v>
      </c>
      <c r="O110" s="52">
        <v>47.6428733253179</v>
      </c>
      <c r="P110" s="53">
        <v>2023</v>
      </c>
      <c r="Q110" s="56">
        <v>1.674883812</v>
      </c>
      <c r="R110" s="51">
        <v>2018</v>
      </c>
      <c r="S110" s="54">
        <f t="shared" ref="S110:U110" si="118">(AC110*40)* 48</f>
        <v>306768679.90246928</v>
      </c>
      <c r="T110" s="57">
        <f t="shared" si="118"/>
        <v>241572254.40202215</v>
      </c>
      <c r="U110" s="58">
        <f t="shared" si="118"/>
        <v>548340934.3044914</v>
      </c>
      <c r="V110" s="36">
        <f t="shared" si="1"/>
        <v>28.552911975306241</v>
      </c>
      <c r="W110" s="37">
        <f t="shared" si="2"/>
        <v>513801895.99725556</v>
      </c>
      <c r="X110" s="38">
        <f t="shared" si="3"/>
        <v>404605458.32629263</v>
      </c>
      <c r="Y110" s="39">
        <f t="shared" si="4"/>
        <v>918407354.3235482</v>
      </c>
      <c r="Z110" s="40">
        <f t="shared" si="5"/>
        <v>8.0132930386053403E-2</v>
      </c>
      <c r="AA110" s="41">
        <f t="shared" si="6"/>
        <v>6.3102571785860484E-2</v>
      </c>
      <c r="AB110" s="42">
        <f t="shared" si="7"/>
        <v>0.14323550217191389</v>
      </c>
      <c r="AC110" s="59">
        <v>159775.35411586941</v>
      </c>
      <c r="AD110" s="60">
        <v>125818.8825010532</v>
      </c>
      <c r="AE110" s="60">
        <f t="shared" si="8"/>
        <v>285594.2366169226</v>
      </c>
      <c r="AF110" s="45">
        <f t="shared" si="9"/>
        <v>0.55944880403935326</v>
      </c>
      <c r="AG110" s="46">
        <f t="shared" si="10"/>
        <v>0.44055119596064679</v>
      </c>
      <c r="AH110" s="47" t="s">
        <v>134</v>
      </c>
      <c r="AI110" s="48" t="s">
        <v>127</v>
      </c>
    </row>
    <row r="111" spans="1:35" ht="15.75" customHeight="1" x14ac:dyDescent="0.35">
      <c r="A111" s="49" t="s">
        <v>155</v>
      </c>
      <c r="B111" s="50">
        <v>4.4748029112541303</v>
      </c>
      <c r="C111" s="50">
        <v>3.8079065567870898</v>
      </c>
      <c r="D111" s="50">
        <v>2.8483699262348101</v>
      </c>
      <c r="E111" s="51">
        <v>4.7674431873393797</v>
      </c>
      <c r="F111" s="52">
        <v>2.1377670002548399</v>
      </c>
      <c r="G111" s="50">
        <v>1.66200707435599</v>
      </c>
      <c r="H111" s="53">
        <v>4.4748029112541303</v>
      </c>
      <c r="I111" s="54">
        <v>63212384</v>
      </c>
      <c r="J111" s="53">
        <v>2023</v>
      </c>
      <c r="K111" s="55">
        <v>380699271814.508</v>
      </c>
      <c r="L111" s="50">
        <v>2023</v>
      </c>
      <c r="M111" s="55">
        <v>6022.5425418935001</v>
      </c>
      <c r="N111" s="51">
        <v>2023</v>
      </c>
      <c r="O111" s="52">
        <v>6.0739085322052997</v>
      </c>
      <c r="P111" s="53">
        <v>2023</v>
      </c>
      <c r="Q111" s="56">
        <v>2.9180000000000001</v>
      </c>
      <c r="R111" s="51">
        <v>2007</v>
      </c>
      <c r="S111" s="54">
        <f t="shared" ref="S111:U111" si="119">(AC111*40)* 48</f>
        <v>2594560291.6346302</v>
      </c>
      <c r="T111" s="57">
        <f t="shared" si="119"/>
        <v>2017141044.3822222</v>
      </c>
      <c r="U111" s="58">
        <f t="shared" si="119"/>
        <v>4611701336.0168524</v>
      </c>
      <c r="V111" s="36">
        <f t="shared" si="1"/>
        <v>31.910535827635012</v>
      </c>
      <c r="W111" s="37">
        <f t="shared" si="2"/>
        <v>7570926930.989851</v>
      </c>
      <c r="X111" s="38">
        <f t="shared" si="3"/>
        <v>5886017567.5073242</v>
      </c>
      <c r="Y111" s="39">
        <f t="shared" si="4"/>
        <v>13456944498.497175</v>
      </c>
      <c r="Z111" s="40">
        <f t="shared" si="5"/>
        <v>1.9886896276173367E-2</v>
      </c>
      <c r="AA111" s="41">
        <f t="shared" si="6"/>
        <v>1.5461068626302046E-2</v>
      </c>
      <c r="AB111" s="42">
        <f t="shared" si="7"/>
        <v>3.5347964902475409E-2</v>
      </c>
      <c r="AC111" s="59">
        <v>1351333.4852263699</v>
      </c>
      <c r="AD111" s="60">
        <v>1050594.2939490741</v>
      </c>
      <c r="AE111" s="60">
        <f t="shared" si="8"/>
        <v>2401927.779175444</v>
      </c>
      <c r="AF111" s="45">
        <f t="shared" si="9"/>
        <v>0.5626037122940758</v>
      </c>
      <c r="AG111" s="46">
        <f t="shared" si="10"/>
        <v>0.4373962877059242</v>
      </c>
      <c r="AH111" s="47" t="s">
        <v>134</v>
      </c>
      <c r="AI111" s="61" t="s">
        <v>44</v>
      </c>
    </row>
    <row r="112" spans="1:35" ht="15.75" customHeight="1" x14ac:dyDescent="0.35">
      <c r="A112" s="49" t="s">
        <v>156</v>
      </c>
      <c r="B112" s="50"/>
      <c r="C112" s="50">
        <v>2.8018776931762699</v>
      </c>
      <c r="D112" s="50">
        <v>1.97269555492808</v>
      </c>
      <c r="E112" s="51">
        <v>3.63105983142446</v>
      </c>
      <c r="F112" s="52">
        <v>1.7320882490479801</v>
      </c>
      <c r="G112" s="50">
        <v>1.1160208827542899</v>
      </c>
      <c r="H112" s="53">
        <v>2.8018776931762699</v>
      </c>
      <c r="I112" s="54">
        <v>9304337</v>
      </c>
      <c r="J112" s="53">
        <v>2023</v>
      </c>
      <c r="K112" s="55">
        <v>9171261837.5710297</v>
      </c>
      <c r="L112" s="50">
        <v>2023</v>
      </c>
      <c r="M112" s="55">
        <v>985.69751262997397</v>
      </c>
      <c r="N112" s="51">
        <v>2023</v>
      </c>
      <c r="O112" s="52">
        <v>7.9675736161794504</v>
      </c>
      <c r="P112" s="53">
        <v>2022</v>
      </c>
      <c r="Q112" s="56">
        <v>0.86038749999999997</v>
      </c>
      <c r="R112" s="51">
        <v>2022</v>
      </c>
      <c r="S112" s="54">
        <f t="shared" ref="S112:U112" si="120">(AC112*40)* 48</f>
        <v>309425909.43134093</v>
      </c>
      <c r="T112" s="57">
        <f t="shared" si="120"/>
        <v>199369620.32992131</v>
      </c>
      <c r="U112" s="58">
        <f t="shared" si="120"/>
        <v>508795529.7612623</v>
      </c>
      <c r="V112" s="36">
        <f t="shared" si="1"/>
        <v>21.427600948882365</v>
      </c>
      <c r="W112" s="37">
        <f t="shared" si="2"/>
        <v>266226184.65085784</v>
      </c>
      <c r="X112" s="38">
        <f t="shared" si="3"/>
        <v>171535129.21161017</v>
      </c>
      <c r="Y112" s="39">
        <f t="shared" si="4"/>
        <v>437761313.862468</v>
      </c>
      <c r="Z112" s="40">
        <f t="shared" si="5"/>
        <v>2.9028304868609741E-2</v>
      </c>
      <c r="AA112" s="41">
        <f t="shared" si="6"/>
        <v>1.8703547259865446E-2</v>
      </c>
      <c r="AB112" s="42">
        <f t="shared" si="7"/>
        <v>4.7731852128475187E-2</v>
      </c>
      <c r="AC112" s="59">
        <v>161159.32782882341</v>
      </c>
      <c r="AD112" s="60">
        <v>103838.34392183401</v>
      </c>
      <c r="AE112" s="60">
        <f t="shared" si="8"/>
        <v>264997.67175065744</v>
      </c>
      <c r="AF112" s="45">
        <f t="shared" si="9"/>
        <v>0.60815375004676275</v>
      </c>
      <c r="AG112" s="46">
        <f t="shared" si="10"/>
        <v>0.39184624995323714</v>
      </c>
      <c r="AH112" s="47" t="s">
        <v>134</v>
      </c>
      <c r="AI112" s="48" t="s">
        <v>127</v>
      </c>
    </row>
    <row r="113" spans="1:35" ht="15.75" customHeight="1" x14ac:dyDescent="0.35">
      <c r="A113" s="49" t="s">
        <v>157</v>
      </c>
      <c r="B113" s="50">
        <v>2.4750773461670699</v>
      </c>
      <c r="C113" s="50">
        <v>2.7608204937160399</v>
      </c>
      <c r="D113" s="50">
        <v>1.8667005463965001</v>
      </c>
      <c r="E113" s="51">
        <v>3.6549404410355799</v>
      </c>
      <c r="F113" s="52">
        <v>1.52810080141685</v>
      </c>
      <c r="G113" s="50">
        <v>1.34228535531142</v>
      </c>
      <c r="H113" s="53">
        <v>2.4750773461670699</v>
      </c>
      <c r="I113" s="54">
        <v>48656601</v>
      </c>
      <c r="J113" s="53">
        <v>2023</v>
      </c>
      <c r="K113" s="55">
        <v>48768955863.317497</v>
      </c>
      <c r="L113" s="50">
        <v>2023</v>
      </c>
      <c r="M113" s="55">
        <v>1002.30913917142</v>
      </c>
      <c r="N113" s="51">
        <v>2023</v>
      </c>
      <c r="O113" s="52">
        <v>5.3509480428039504</v>
      </c>
      <c r="P113" s="53">
        <v>2023</v>
      </c>
      <c r="Q113" s="56">
        <v>0.97899999999999998</v>
      </c>
      <c r="R113" s="51">
        <v>2021</v>
      </c>
      <c r="S113" s="54">
        <f t="shared" ref="S113:U113" si="121">(AC113*40)* 48</f>
        <v>1427562066.8605421</v>
      </c>
      <c r="T113" s="57">
        <f t="shared" si="121"/>
        <v>1253972024.8613951</v>
      </c>
      <c r="U113" s="58">
        <f t="shared" si="121"/>
        <v>2681534091.7219372</v>
      </c>
      <c r="V113" s="36">
        <f t="shared" si="1"/>
        <v>25.771878821979264</v>
      </c>
      <c r="W113" s="37">
        <f t="shared" si="2"/>
        <v>1397583263.4564707</v>
      </c>
      <c r="X113" s="38">
        <f t="shared" si="3"/>
        <v>1227638612.3393059</v>
      </c>
      <c r="Y113" s="39">
        <f t="shared" si="4"/>
        <v>2625221875.7957764</v>
      </c>
      <c r="Z113" s="40">
        <f t="shared" si="5"/>
        <v>2.8657231608021562E-2</v>
      </c>
      <c r="AA113" s="41">
        <f t="shared" si="6"/>
        <v>2.5172542462872323E-2</v>
      </c>
      <c r="AB113" s="42">
        <f t="shared" si="7"/>
        <v>5.3829774070893885E-2</v>
      </c>
      <c r="AC113" s="59">
        <v>743521.90982319904</v>
      </c>
      <c r="AD113" s="60">
        <v>653110.42961530993</v>
      </c>
      <c r="AE113" s="60">
        <f t="shared" si="8"/>
        <v>1396632.339438509</v>
      </c>
      <c r="AF113" s="45">
        <f t="shared" si="9"/>
        <v>0.53236767388768813</v>
      </c>
      <c r="AG113" s="46">
        <f t="shared" si="10"/>
        <v>0.46763232611231192</v>
      </c>
      <c r="AH113" s="47" t="s">
        <v>134</v>
      </c>
      <c r="AI113" s="48" t="s">
        <v>127</v>
      </c>
    </row>
    <row r="114" spans="1:35" ht="15.75" customHeight="1" x14ac:dyDescent="0.35">
      <c r="A114" s="49" t="s">
        <v>158</v>
      </c>
      <c r="B114" s="50"/>
      <c r="C114" s="50">
        <v>2.80069526936719</v>
      </c>
      <c r="D114" s="50">
        <v>1.8585459635061501</v>
      </c>
      <c r="E114" s="51">
        <v>3.7428445752282302</v>
      </c>
      <c r="F114" s="52">
        <v>1.6268455734386</v>
      </c>
      <c r="G114" s="50">
        <v>1.3058111906686001</v>
      </c>
      <c r="H114" s="53">
        <v>2.80069526936719</v>
      </c>
      <c r="I114" s="54">
        <v>20723965</v>
      </c>
      <c r="J114" s="53">
        <v>2023</v>
      </c>
      <c r="K114" s="55">
        <v>27577956471.243999</v>
      </c>
      <c r="L114" s="50">
        <v>2023</v>
      </c>
      <c r="M114" s="55">
        <v>1330.7278057670901</v>
      </c>
      <c r="N114" s="51">
        <v>2023</v>
      </c>
      <c r="O114" s="52">
        <v>10.884531691282</v>
      </c>
      <c r="P114" s="53">
        <v>2023</v>
      </c>
      <c r="Q114" s="56">
        <v>0.91700000000000004</v>
      </c>
      <c r="R114" s="51">
        <v>2023</v>
      </c>
      <c r="S114" s="54">
        <f t="shared" ref="S114:U114" si="122">(AC114*40)* 48</f>
        <v>647322061.90745234</v>
      </c>
      <c r="T114" s="57">
        <f t="shared" si="122"/>
        <v>519582439.91086847</v>
      </c>
      <c r="U114" s="58">
        <f t="shared" si="122"/>
        <v>1166904501.8183208</v>
      </c>
      <c r="V114" s="36">
        <f t="shared" si="1"/>
        <v>25.071574860837124</v>
      </c>
      <c r="W114" s="37">
        <f t="shared" si="2"/>
        <v>593594330.76913381</v>
      </c>
      <c r="X114" s="38">
        <f t="shared" si="3"/>
        <v>476457097.39826638</v>
      </c>
      <c r="Y114" s="39">
        <f t="shared" si="4"/>
        <v>1070051428.1674001</v>
      </c>
      <c r="Z114" s="40">
        <f t="shared" si="5"/>
        <v>2.1524231912835333E-2</v>
      </c>
      <c r="AA114" s="41">
        <f t="shared" si="6"/>
        <v>1.727673687117014E-2</v>
      </c>
      <c r="AB114" s="42">
        <f t="shared" si="7"/>
        <v>3.8800968784005477E-2</v>
      </c>
      <c r="AC114" s="59">
        <v>337146.90724346478</v>
      </c>
      <c r="AD114" s="60">
        <v>270615.85412024398</v>
      </c>
      <c r="AE114" s="60">
        <f t="shared" si="8"/>
        <v>607762.76136370876</v>
      </c>
      <c r="AF114" s="45">
        <f t="shared" si="9"/>
        <v>0.55473439420172543</v>
      </c>
      <c r="AG114" s="46">
        <f t="shared" si="10"/>
        <v>0.44526560579827462</v>
      </c>
      <c r="AH114" s="47" t="s">
        <v>134</v>
      </c>
      <c r="AI114" s="48" t="s">
        <v>127</v>
      </c>
    </row>
    <row r="115" spans="1:35" ht="15.75" customHeight="1" thickBot="1" x14ac:dyDescent="0.4">
      <c r="A115" s="64" t="s">
        <v>159</v>
      </c>
      <c r="B115" s="65"/>
      <c r="C115" s="65">
        <v>2.9231991545392702</v>
      </c>
      <c r="D115" s="65">
        <v>2.11391956126355</v>
      </c>
      <c r="E115" s="66">
        <v>3.7324787478149899</v>
      </c>
      <c r="F115" s="67">
        <v>1.8086354256400801</v>
      </c>
      <c r="G115" s="65">
        <v>1.3238035398330401</v>
      </c>
      <c r="H115" s="68">
        <v>2.9231991545392702</v>
      </c>
      <c r="I115" s="69">
        <v>16340822</v>
      </c>
      <c r="J115" s="68">
        <v>2023</v>
      </c>
      <c r="K115" s="70">
        <v>35231367885.8554</v>
      </c>
      <c r="L115" s="65">
        <v>2023</v>
      </c>
      <c r="M115" s="70">
        <v>2156.0340040332999</v>
      </c>
      <c r="N115" s="66">
        <v>2023</v>
      </c>
      <c r="O115" s="67">
        <v>104.70517062866701</v>
      </c>
      <c r="P115" s="68">
        <v>2022</v>
      </c>
      <c r="Q115" s="71">
        <v>0.67700000000000005</v>
      </c>
      <c r="R115" s="66">
        <v>2023</v>
      </c>
      <c r="S115" s="69">
        <f t="shared" ref="S115:U115" si="123">(AC115*40)* 48</f>
        <v>567448119.42295265</v>
      </c>
      <c r="T115" s="72">
        <f t="shared" si="123"/>
        <v>415335129.74172711</v>
      </c>
      <c r="U115" s="73">
        <f t="shared" si="123"/>
        <v>982783249.16467988</v>
      </c>
      <c r="V115" s="74">
        <f t="shared" si="1"/>
        <v>25.417027964794372</v>
      </c>
      <c r="W115" s="75">
        <f t="shared" si="2"/>
        <v>384162376.84933895</v>
      </c>
      <c r="X115" s="76">
        <f t="shared" si="3"/>
        <v>281181882.83514929</v>
      </c>
      <c r="Y115" s="77">
        <f t="shared" si="4"/>
        <v>665344259.6844883</v>
      </c>
      <c r="Z115" s="78">
        <f t="shared" si="5"/>
        <v>1.0903986983814258E-2</v>
      </c>
      <c r="AA115" s="79">
        <f t="shared" si="6"/>
        <v>7.9810095295231916E-3</v>
      </c>
      <c r="AB115" s="80">
        <f t="shared" si="7"/>
        <v>1.888499651333745E-2</v>
      </c>
      <c r="AC115" s="81">
        <v>295545.89553278789</v>
      </c>
      <c r="AD115" s="82">
        <v>216320.3800738162</v>
      </c>
      <c r="AE115" s="82">
        <f t="shared" si="8"/>
        <v>511866.27560660406</v>
      </c>
      <c r="AF115" s="83">
        <f t="shared" si="9"/>
        <v>0.5773888799033331</v>
      </c>
      <c r="AG115" s="84">
        <f t="shared" si="10"/>
        <v>0.42261112009666701</v>
      </c>
      <c r="AH115" s="85" t="s">
        <v>134</v>
      </c>
      <c r="AI115" s="86" t="s">
        <v>39</v>
      </c>
    </row>
    <row r="116" spans="1:35" ht="15.75" customHeight="1" thickBot="1" x14ac:dyDescent="0.4">
      <c r="A116" s="87" t="s">
        <v>160</v>
      </c>
      <c r="B116" s="88"/>
      <c r="C116" s="88"/>
      <c r="D116" s="88"/>
      <c r="E116" s="88"/>
      <c r="F116" s="88"/>
      <c r="G116" s="88"/>
      <c r="H116" s="88"/>
      <c r="I116" s="89">
        <f>SUM(I2:I115)</f>
        <v>5512178129</v>
      </c>
      <c r="J116" s="88"/>
      <c r="K116" s="90">
        <f>SUM(K2:K115)</f>
        <v>81473182752793.156</v>
      </c>
      <c r="L116" s="88"/>
      <c r="M116" s="88"/>
      <c r="N116" s="88"/>
      <c r="O116" s="88"/>
      <c r="P116" s="91"/>
      <c r="Q116" s="92"/>
      <c r="R116" s="88"/>
      <c r="S116" s="89">
        <f t="shared" ref="S116:U116" si="124">SUM(S2:S115)</f>
        <v>276585486277.67352</v>
      </c>
      <c r="T116" s="93">
        <f t="shared" si="124"/>
        <v>156403143648.29688</v>
      </c>
      <c r="U116" s="94">
        <f t="shared" si="124"/>
        <v>432988629925.97028</v>
      </c>
      <c r="V116" s="95">
        <f t="shared" si="1"/>
        <v>28.374109106788062</v>
      </c>
      <c r="W116" s="96">
        <f t="shared" ref="W116:Y116" si="125">SUM(W2:W115)</f>
        <v>3954533821131.8896</v>
      </c>
      <c r="X116" s="96">
        <f t="shared" si="125"/>
        <v>1970233143417.8491</v>
      </c>
      <c r="Y116" s="90">
        <f t="shared" si="125"/>
        <v>5924766964549.7412</v>
      </c>
      <c r="Z116" s="97">
        <f t="shared" si="5"/>
        <v>4.8537858562992198E-2</v>
      </c>
      <c r="AA116" s="98">
        <f t="shared" si="6"/>
        <v>2.4182596982812769E-2</v>
      </c>
      <c r="AB116" s="99">
        <f t="shared" si="7"/>
        <v>7.2720455545804974E-2</v>
      </c>
      <c r="AC116" s="100">
        <f t="shared" ref="AC116:AE116" si="126">SUM(AC2:AC115)</f>
        <v>144054940.76962158</v>
      </c>
      <c r="AD116" s="93">
        <f t="shared" si="126"/>
        <v>81459970.65015471</v>
      </c>
      <c r="AE116" s="101">
        <f t="shared" si="126"/>
        <v>225514911.41977623</v>
      </c>
      <c r="AF116" s="102">
        <f t="shared" si="9"/>
        <v>0.63878233090084202</v>
      </c>
      <c r="AG116" s="103">
        <f t="shared" si="10"/>
        <v>0.36121766909915826</v>
      </c>
      <c r="AH116" s="104"/>
      <c r="AI116" s="105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35D7289E633748910BCD000B9F727E" ma:contentTypeVersion="15" ma:contentTypeDescription="Een nieuw document maken." ma:contentTypeScope="" ma:versionID="9a4c9395a3fe06aa05cd9af28a2026aa">
  <xsd:schema xmlns:xsd="http://www.w3.org/2001/XMLSchema" xmlns:xs="http://www.w3.org/2001/XMLSchema" xmlns:p="http://schemas.microsoft.com/office/2006/metadata/properties" xmlns:ns2="4c13c8ee-05e2-4241-be9c-b96764146f8c" xmlns:ns3="b9773571-a692-4ba2-aaa9-1b93d11062ad" targetNamespace="http://schemas.microsoft.com/office/2006/metadata/properties" ma:root="true" ma:fieldsID="ea61ae6c758275ffdf0b9773f40899b7" ns2:_="" ns3:_="">
    <xsd:import namespace="4c13c8ee-05e2-4241-be9c-b96764146f8c"/>
    <xsd:import namespace="b9773571-a692-4ba2-aaa9-1b93d11062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3c8ee-05e2-4241-be9c-b96764146f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1309668b-48a0-4a22-89ec-54d057dce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73571-a692-4ba2-aaa9-1b93d11062a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7297d5d-4f1b-40e0-8aa5-c3f718aa79ed}" ma:internalName="TaxCatchAll" ma:showField="CatchAllData" ma:web="b9773571-a692-4ba2-aaa9-1b93d11062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13c8ee-05e2-4241-be9c-b96764146f8c">
      <Terms xmlns="http://schemas.microsoft.com/office/infopath/2007/PartnerControls"/>
    </lcf76f155ced4ddcb4097134ff3c332f>
    <TaxCatchAll xmlns="b9773571-a692-4ba2-aaa9-1b93d11062ad" xsi:nil="true"/>
  </documentManagement>
</p:properties>
</file>

<file path=customXml/itemProps1.xml><?xml version="1.0" encoding="utf-8"?>
<ds:datastoreItem xmlns:ds="http://schemas.openxmlformats.org/officeDocument/2006/customXml" ds:itemID="{F63D2E0A-3137-40D0-AB3D-014E4B6E94D2}"/>
</file>

<file path=customXml/itemProps2.xml><?xml version="1.0" encoding="utf-8"?>
<ds:datastoreItem xmlns:ds="http://schemas.openxmlformats.org/officeDocument/2006/customXml" ds:itemID="{1DFD2F5D-017D-4317-9BB1-DA03B982D460}"/>
</file>

<file path=customXml/itemProps3.xml><?xml version="1.0" encoding="utf-8"?>
<ds:datastoreItem xmlns:ds="http://schemas.openxmlformats.org/officeDocument/2006/customXml" ds:itemID="{8F4DDA62-C37B-4662-8FDE-3794033853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Kelsey MacKay</dc:creator>
  <cp:lastModifiedBy>Kelsey MacKay</cp:lastModifiedBy>
  <dcterms:created xsi:type="dcterms:W3CDTF">2025-01-30T08:22:45Z</dcterms:created>
  <dcterms:modified xsi:type="dcterms:W3CDTF">2026-03-02T14:22:09Z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0x010100C835D7289E633748910BCD000B9F727E</vt:lpwstr>
  </property>
</Properties>
</file>